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632a43c62ad34963" /><ns0:Relationship Id="rIdCoreProperties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 9 focus" sheetId="1" r:id="Rbe7247727a564869"/>
    <x:sheet xmlns:r="http://schemas.openxmlformats.org/officeDocument/2006/relationships" name="Full schedule" sheetId="2" r:id="Rf95395c29f574b00"/>
    <x:sheet xmlns:r="http://schemas.openxmlformats.org/officeDocument/2006/relationships" name="Sources" sheetId="3" r:id="R0978b82cd8654f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"/>
    <x:numFmt numFmtId="201" formatCode="mmm d"/>
    <x:numFmt numFmtId="202" formatCode="[=2]&quot;M&quot;;[=3]&quot;?&quot;;&quot;&quot;;@"/>
    <x:numFmt numFmtId="203" formatCode="m/d"/>
    <x:numFmt numFmtId="204" formatCode="mm/dd"/>
  </x:numFmts>
  <x:fonts count="6">
    <x:font>
      <x:sz val="11"/>
      <x:name val="Carlito"/>
    </x:font>
    <x:font>
      <x:sz val="10"/>
      <x:color rgb="FF243746"/>
      <x:name val="Arial"/>
    </x:font>
    <x:font>
      <x:b/>
      <x:sz val="16"/>
      <x:color rgb="FF203E58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  <x:font>
      <x:b/>
      <x:sz val="10"/>
      <x:color rgb="FF203E5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E58"/>
      </x:patternFill>
    </x:fill>
    <x:fill>
      <x:patternFill patternType="solid">
        <x:fgColor rgb="FFFFF0CE"/>
      </x:patternFill>
    </x:fill>
    <x:fill>
      <x:patternFill patternType="solid">
        <x:fgColor rgb="FFEEF1F3"/>
      </x:patternFill>
    </x:fill>
    <x:fill>
      <x:patternFill patternType="solid">
        <x:fgColor rgb="FFF7F9FA"/>
      </x:patternFill>
    </x:fill>
  </x:fills>
  <x:borders count="8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6EBEF"/>
      </x:bottom>
      <x:diagonal/>
    </x:border>
    <x:border>
      <x:left/>
      <x:right/>
      <x:top style="thin">
        <x:color rgb="FFE6EBEF"/>
      </x:top>
      <x:bottom style="thin">
        <x:color rgb="FFE6EBEF"/>
      </x:bottom>
      <x:diagonal/>
    </x:border>
    <x:border>
      <x:left/>
      <x:right/>
      <x:top style="thin">
        <x:color rgb="FFE6EBEF"/>
      </x:top>
      <x:bottom/>
      <x:diagonal/>
    </x:border>
    <x:border>
      <x:left/>
      <x:right/>
      <x:top/>
      <x:bottom style="thin">
        <x:color rgb="FFCFD7DD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2" borderId="2" xfId="0" applyNumberFormat="1" applyFont="1" applyFill="1" applyBorder="1" applyAlignment="1">
      <x:alignment horizontal="center" vertical="center" wrapText="1"/>
    </x:xf>
    <x:xf numFmtId="201" fontId="3" fillId="2" borderId="3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/>
    </x:xf>
    <x:xf numFmtId="203" fontId="3" fillId="2" borderId="2" xfId="0" applyNumberFormat="1" applyFont="1" applyFill="1" applyBorder="1" applyAlignment="1">
      <x:alignment horizontal="center" vertical="center" wrapText="1"/>
    </x:xf>
    <x:xf numFmtId="203" fontId="3" fillId="2" borderId="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703"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ont>
        <x:color rgb="FF315938"/>
      </x:font>
      <x:fill>
        <x:patternFill patternType="solid">
          <x:bgColor rgb="FFDDEBDD"/>
        </x:patternFill>
      </x:fill>
    </x:dxf>
    <x:dxf>
      <x:font>
        <x:color rgb="FF315938"/>
      </x:font>
      <x:fill>
        <x:patternFill patternType="solid">
          <x:bgColor rgb="FFDDEBDD"/>
        </x:patternFill>
      </x:fill>
    </x:dxf>
    <x:dxf>
      <x:font>
        <x:color rgb="FF825900"/>
      </x:font>
      <x:fill>
        <x:patternFill patternType="solid">
          <x:bgColor rgb="FFFFF0CE"/>
        </x:patternFill>
      </x:fill>
    </x:dxf>
    <x:dxf>
      <x:font>
        <x:color rgb="FF825900"/>
      </x:font>
      <x:fill>
        <x:patternFill patternType="solid">
          <x:bgColor rgb="FFFFF0CE"/>
        </x:patternFill>
      </x:fill>
    </x:dxf>
    <x:dxf>
      <x:font>
        <x:color rgb="FF825900"/>
      </x:font>
      <x:fill>
        <x:patternFill patternType="solid">
          <x:bgColor rgb="FFFFF0CE"/>
        </x:patternFill>
      </x:fill>
    </x:dxf>
    <x:dxf>
      <x:font>
        <x:color rgb="FF825900"/>
      </x:font>
      <x:fill>
        <x:patternFill patternType="solid">
          <x:bgColor rgb="FFFFF0CE"/>
        </x:patternFill>
      </x:fill>
    </x:dxf>
    <x:dxf>
      <x:font>
        <x:color rgb="FF825900"/>
      </x:font>
      <x:fill>
        <x:patternFill patternType="solid">
          <x:bgColor rgb="FFFFF0CE"/>
        </x:patternFill>
      </x:fill>
    </x:dxf>
    <x:dxf>
      <x:font>
        <x:color rgb="FF61727E"/>
      </x:font>
      <x:fill>
        <x:patternFill patternType="solid">
          <x:bgColor rgb="FFEEF1F3"/>
        </x:patternFill>
      </x:fill>
    </x:dxf>
    <x:dxf>
      <x:font>
        <x:b/>
        <x:color rgb="FFA62319"/>
      </x:font>
      <x:fill>
        <x:patternFill patternType="solid">
          <x:bgColor rgb="FFF9DDDA"/>
        </x:patternFill>
      </x:fill>
    </x:dxf>
    <x:dxf>
      <x:font>
        <x:b/>
        <x:color rgb="FFA62319"/>
      </x:font>
      <x:fill>
        <x:patternFill patternType="solid">
          <x:bgColor rgb="FFF9DDDA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ill>
        <x:patternFill patternType="solid">
          <x:bgColor rgb="FF628A66"/>
        </x:patternFill>
      </x:fill>
    </x:dxf>
    <x:dxf>
      <x:fill>
        <x:patternFill patternType="solid">
          <x:bgColor rgb="FF4F87AD"/>
        </x:patternFill>
      </x:fill>
    </x:dxf>
    <x:dxf>
      <x:fill>
        <x:patternFill patternType="solid">
          <x:bgColor rgb="FFE4E9ED"/>
        </x:patternFill>
      </x:fill>
    </x:dxf>
    <x:dxf>
      <x:font>
        <x:b/>
        <x:color rgb="FFFFFFFF"/>
      </x:font>
      <x:fill>
        <x:patternFill patternType="solid">
          <x:bgColor rgb="FF203E58"/>
        </x:patternFill>
      </x:fill>
    </x:dxf>
    <x:dxf>
      <x:font>
        <x:b/>
        <x:color rgb="FF825900"/>
      </x:font>
      <x:fill>
        <x:patternFill patternType="solid">
          <x:bgColor rgb="FFFFF0CE"/>
        </x:patternFill>
      </x:fill>
    </x:dxf>
    <x:dxf>
      <x:font>
        <x:b/>
        <x:color rgb="FF203E58"/>
      </x:font>
      <x:fill>
        <x:patternFill patternType="solid">
          <x:bgColor rgb="FFE4E9ED"/>
        </x:patternFill>
      </x:fill>
    </x:dxf>
    <x:dxf>
      <x:font>
        <x:color rgb="FF315938"/>
      </x:font>
      <x:fill>
        <x:patternFill patternType="solid">
          <x:bgColor rgb="FFDDEBDD"/>
        </x:patternFill>
      </x:fill>
    </x:dxf>
    <x:dxf>
      <x:font>
        <x:color rgb="FF315938"/>
      </x:font>
      <x:fill>
        <x:patternFill patternType="solid">
          <x:bgColor rgb="FFDDEBDD"/>
        </x:patternFill>
      </x:fill>
    </x:dxf>
    <x:dxf>
      <x:font>
        <x:color rgb="FF825900"/>
      </x:font>
      <x:fill>
        <x:patternFill patternType="solid">
          <x:bgColor rgb="FFFFF0CE"/>
        </x:patternFill>
      </x:fill>
    </x:dxf>
    <x:dxf>
      <x:font>
        <x:color rgb="FF825900"/>
      </x:font>
      <x:fill>
        <x:patternFill patternType="solid">
          <x:bgColor rgb="FFFFF0CE"/>
        </x:patternFill>
      </x:fill>
    </x:dxf>
    <x:dxf>
      <x:font>
        <x:color rgb="FF825900"/>
      </x:font>
      <x:fill>
        <x:patternFill patternType="solid">
          <x:bgColor rgb="FFFFF0CE"/>
        </x:patternFill>
      </x:fill>
    </x:dxf>
    <x:dxf>
      <x:font>
        <x:color rgb="FF825900"/>
      </x:font>
      <x:fill>
        <x:patternFill patternType="solid">
          <x:bgColor rgb="FFFFF0CE"/>
        </x:patternFill>
      </x:fill>
    </x:dxf>
    <x:dxf>
      <x:font>
        <x:color rgb="FF825900"/>
      </x:font>
      <x:fill>
        <x:patternFill patternType="solid">
          <x:bgColor rgb="FFFFF0CE"/>
        </x:patternFill>
      </x:fill>
    </x:dxf>
    <x:dxf>
      <x:font>
        <x:color rgb="FF61727E"/>
      </x:font>
      <x:fill>
        <x:patternFill patternType="solid">
          <x:bgColor rgb="FFEEF1F3"/>
        </x:patternFill>
      </x:fill>
    </x:dxf>
    <x:dxf>
      <x:font>
        <x:b/>
        <x:color rgb="FFA62319"/>
      </x:font>
      <x:fill>
        <x:patternFill patternType="solid">
          <x:bgColor rgb="FFF9DD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26dc9d107426d" /><Relationship Type="http://schemas.openxmlformats.org/officeDocument/2006/relationships/theme" Target="/xl/theme/theme1.xml" Id="R37109aeb2a6a461b" /><Relationship Type="http://schemas.openxmlformats.org/officeDocument/2006/relationships/sharedStrings" Target="/xl/sharedStrings.xml" Id="Rd2b0d8209dc94db5" /><Relationship Type="http://schemas.openxmlformats.org/officeDocument/2006/relationships/worksheet" Target="/xl/worksheets/sheet1.xml" Id="Rbe7247727a564869" /><Relationship Type="http://schemas.openxmlformats.org/officeDocument/2006/relationships/worksheet" Target="/xl/worksheets/sheet2.xml" Id="Rf95395c29f574b00" /><Relationship Type="http://schemas.openxmlformats.org/officeDocument/2006/relationships/worksheet" Target="/xl/worksheets/sheet3.xml" Id="R0978b82cd8654f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E58"/>
  </x:sheetPr>
  <x:sheetViews>
    <x:sheetView showGridLines="0" workbookViewId="0">
      <x:pane xSplit="2" ySplit="12" topLeftCell="C13" activePane="bottomRight" state="frozen"/>
    </x:sheetView>
  </x:sheetViews>
  <x:sheetFormatPr defaultRowHeight="15"/>
  <x:cols>
    <x:col min="1" max="1" width="4.889999866485596" hidden="0" customWidth="1"/>
    <x:col min="2" max="2" width="39.439998626708984" hidden="0" customWidth="1"/>
    <x:col min="3" max="3" width="17.219999313354492" hidden="0" customWidth="1"/>
    <x:col min="4" max="4" width="12.220000267028809" hidden="0" customWidth="1"/>
    <x:col min="5" max="5" width="9.109999656677246" hidden="0" customWidth="1"/>
    <x:col min="6" max="6" width="10.220000267028809" hidden="0" customWidth="1"/>
    <x:col min="7" max="7" width="4.21999979019165" hidden="0" customWidth="1"/>
    <x:col min="8" max="8" width="4.21999979019165" hidden="0" customWidth="1"/>
    <x:col min="9" max="9" width="4.21999979019165" hidden="0" customWidth="1"/>
    <x:col min="10" max="10" width="4.21999979019165" hidden="0" customWidth="1"/>
    <x:col min="11" max="11" width="4.21999979019165" hidden="0" customWidth="1"/>
    <x:col min="12" max="12" width="4.21999979019165" hidden="0" customWidth="1"/>
    <x:col min="13" max="13" width="4.21999979019165" hidden="0" customWidth="1"/>
    <x:col min="14" max="14" width="4.21999979019165" hidden="0" customWidth="1"/>
    <x:col min="15" max="15" width="4.21999979019165" hidden="0" customWidth="1"/>
    <x:col min="16" max="16" width="4.21999979019165" hidden="0" customWidth="1"/>
    <x:col min="17" max="17" width="4.21999979019165" hidden="0" customWidth="1"/>
    <x:col min="18" max="18" width="4.21999979019165" hidden="0" customWidth="1"/>
    <x:col min="19" max="19" width="4.21999979019165" hidden="0" customWidth="1"/>
    <x:col min="20" max="20" width="4.21999979019165" hidden="0" customWidth="1"/>
    <x:col min="21" max="21" width="4.21999979019165" hidden="0" customWidth="1"/>
    <x:col min="22" max="22" width="4.21999979019165" hidden="0" customWidth="1"/>
    <x:col min="23" max="23" width="4.21999979019165" hidden="0" customWidth="1"/>
    <x:col min="24" max="24" width="4.21999979019165" hidden="0" customWidth="1"/>
    <x:col min="25" max="25" width="4.21999979019165" hidden="0" customWidth="1"/>
    <x:col min="26" max="26" width="2.6700000762939453" hidden="0" customWidth="1"/>
    <x:col min="27" max="27" width="10.560000419616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5" customHeight="1">
      <x:c r="A2" s="3" t="str">
        <x:v>Week 9 progress and next deadlines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5" customHeight="1">
      <x:c r="A3" s="2" t="str">
        <x:f>"Memorial bird feeder. Week 9 status at "&amp;TEXT(Sources!C5,"mmmm d")&amp;". Calendar shown: October 19 through November 6."</x:f>
        <x:v>Memorial bird feeder. Week 9 status at October 23. Calendar shown: October 19 through November 6.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5" customHeight="1">
      <x:c r="A4" s="2" t="str">
        <x:v>Prototype and slides due</x:v>
      </x:c>
      <x:c r="B4" s="2"/>
      <x:c r="C4" s="28" t="n">
        <x:f>'Sources'!$C$6</x:f>
        <x:v>46321</x:v>
      </x:c>
      <x:c r="D4" s="2"/>
      <x:c r="E4" s="2" t="str">
        <x:v>MVP due</x:v>
      </x:c>
      <x:c r="F4" s="28" t="n">
        <x:f>'Sources'!$C$9</x:f>
        <x:v>46328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5" customHeight="1">
      <x:c r="A5" s="2" t="str">
        <x:f>"Live presentation: "&amp;TEXT(Sources!C7,"mmmm d")&amp;" or "&amp;TEXT(Sources!C8,"mmmm d")&amp;", selected at random. Question marks show both possibilities."</x:f>
        <x:v>Live presentation: October 26 or October 28, selected at random. Question marks show both possibilities.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25" customHeight="1">
      <x:c r="A7" s="2" t="str">
        <x:v>Green = complete by the Week 9 cutoff. Gray = remaining target window. Blue = planned work. Exact completion days are not assigned. M = milestone.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5" customHeight="1">
      <x:c r="A8" s="2" t="str">
        <x:f>"MVP work follows review feedback. "&amp;TEXT(Sources!C10,"mmmm d")&amp;" is an interim check-in; the improved MVP is due "&amp;TEXT(Sources!C9,"mmmm d")&amp;"."</x:f>
        <x:v>MVP work follows review feedback. October 30 is an interim check-in; the improved MVP is due November 2.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5" customHeight="1">
      <x:c r="A9" s="2" t="str">
        <x:v>V&amp;V protocols must be settled before laboratory collection. The revision and stakeholder contact have no set target.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40" customHeight="1">
      <x:c r="A12" s="12" t="str">
        <x:v>ID</x:v>
      </x:c>
      <x:c r="B12" s="13" t="str">
        <x:v>Task</x:v>
      </x:c>
      <x:c r="C12" s="13" t="str">
        <x:v>Responsible</x:v>
      </x:c>
      <x:c r="D12" s="13" t="str">
        <x:v>Week 9 status</x:v>
      </x:c>
      <x:c r="E12" s="13" t="str">
        <x:v>Scheduled start</x:v>
      </x:c>
      <x:c r="F12" s="13" t="str">
        <x:v>Target / end</x:v>
      </x:c>
      <x:c r="G12" s="39" t="d">
        <x:v>2026-10-19T00:00:00.000Z</x:v>
      </x:c>
      <x:c r="H12" s="39" t="d">
        <x:v>2026-10-20T00:00:00.000Z</x:v>
      </x:c>
      <x:c r="I12" s="39" t="d">
        <x:v>2026-10-21T00:00:00.000Z</x:v>
      </x:c>
      <x:c r="J12" s="39" t="d">
        <x:v>2026-10-22T00:00:00.000Z</x:v>
      </x:c>
      <x:c r="K12" s="39" t="d">
        <x:v>2026-10-23T00:00:00.000Z</x:v>
      </x:c>
      <x:c r="L12" s="39" t="d">
        <x:v>2026-10-24T00:00:00.000Z</x:v>
      </x:c>
      <x:c r="M12" s="39" t="d">
        <x:v>2026-10-25T00:00:00.000Z</x:v>
      </x:c>
      <x:c r="N12" s="39" t="d">
        <x:v>2026-10-26T00:00:00.000Z</x:v>
      </x:c>
      <x:c r="O12" s="39" t="d">
        <x:v>2026-10-27T00:00:00.000Z</x:v>
      </x:c>
      <x:c r="P12" s="39" t="d">
        <x:v>2026-10-28T00:00:00.000Z</x:v>
      </x:c>
      <x:c r="Q12" s="39" t="d">
        <x:v>2026-10-29T00:00:00.000Z</x:v>
      </x:c>
      <x:c r="R12" s="39" t="d">
        <x:v>2026-10-30T00:00:00.000Z</x:v>
      </x:c>
      <x:c r="S12" s="39" t="d">
        <x:v>2026-10-31T00:00:00.000Z</x:v>
      </x:c>
      <x:c r="T12" s="39" t="d">
        <x:v>2026-11-01T00:00:00.000Z</x:v>
      </x:c>
      <x:c r="U12" s="39" t="d">
        <x:v>2026-11-02T00:00:00.000Z</x:v>
      </x:c>
      <x:c r="V12" s="39" t="d">
        <x:v>2026-11-03T00:00:00.000Z</x:v>
      </x:c>
      <x:c r="W12" s="39" t="d">
        <x:v>2026-11-04T00:00:00.000Z</x:v>
      </x:c>
      <x:c r="X12" s="39" t="d">
        <x:v>2026-11-05T00:00:00.000Z</x:v>
      </x:c>
      <x:c r="Y12" s="40" t="d">
        <x:v>2026-11-06T00:00:00.000Z</x:v>
      </x:c>
      <x:c r="Z12" s="2"/>
      <x:c r="AA12" s="42" t="str">
        <x:v>Kind</x:v>
      </x:c>
    </x:row>
    <x:row r="13" ht="24" customHeight="1">
      <x:c r="A13" s="33" t="str">
        <x:v>Week 9 prototype progress</x:v>
      </x:c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2"/>
      <x:c r="AA13" s="2"/>
    </x:row>
    <x:row r="14" ht="44" customHeight="1">
      <x:c r="A14" s="36" t="str">
        <x:f>'Full schedule'!A27</x:f>
        <x:v>PR1</x:v>
      </x:c>
      <x:c r="B14" s="37" t="str">
        <x:f>'Full schedule'!B27</x:f>
        <x:v>Check approach and refill using the placement drawings</x:v>
      </x:c>
      <x:c r="C14" s="37" t="str">
        <x:f>'Full schedule'!C27</x:f>
        <x:v>Joe and Ayan; all four</x:v>
      </x:c>
      <x:c r="D14" s="36" t="str">
        <x:f>IF('Full schedule'!G27="Review","Review dates",'Full schedule'!D27)</x:f>
        <x:v>Complete</x:v>
      </x:c>
      <x:c r="E14" s="44" t="n">
        <x:f>IF('Full schedule'!E27="","",'Full schedule'!E27)</x:f>
        <x:v>46307</x:v>
      </x:c>
      <x:c r="F14" s="44" t="n">
        <x:f>IF('Full schedule'!F27="",IF(OR('Full schedule'!D27="Complete",'Full schedule'!D27="Submitted"),"n.a.","Unscheduled"),'Full schedule'!F27)</x:f>
        <x:v>46321</x:v>
      </x:c>
      <x:c r="G14" s="35" t="n">
        <x:f>IF(OR($E14="",$F14="Unscheduled"),"",IF($AA14="Either date",IF(OR(G$12=$E14,G$12=$F14),3,""),IF(AND(G$12&gt;=$E14,G$12&lt;=$F14),IF($AA14="Milestone",IF(AND(OR($D14="Complete",$D14="Submitted"),$F14&gt;Sources!$C$5),"T",2),IF(AND(OR($D14="Complete",$D14="Submitted"),G$12&gt;Sources!$C$5),4,1)),"")))</x:f>
        <x:v>1</x:v>
      </x:c>
      <x:c r="H14" s="35" t="n">
        <x:f>IF(OR($E14="",$F14="Unscheduled"),"",IF($AA14="Either date",IF(OR(H$12=$E14,H$12=$F14),3,""),IF(AND(H$12&gt;=$E14,H$12&lt;=$F14),IF($AA14="Milestone",IF(AND(OR($D14="Complete",$D14="Submitted"),$F14&gt;Sources!$C$5),"T",2),IF(AND(OR($D14="Complete",$D14="Submitted"),H$12&gt;Sources!$C$5),4,1)),"")))</x:f>
        <x:v>1</x:v>
      </x:c>
      <x:c r="I14" s="35" t="n">
        <x:f>IF(OR($E14="",$F14="Unscheduled"),"",IF($AA14="Either date",IF(OR(I$12=$E14,I$12=$F14),3,""),IF(AND(I$12&gt;=$E14,I$12&lt;=$F14),IF($AA14="Milestone",IF(AND(OR($D14="Complete",$D14="Submitted"),$F14&gt;Sources!$C$5),"T",2),IF(AND(OR($D14="Complete",$D14="Submitted"),I$12&gt;Sources!$C$5),4,1)),"")))</x:f>
        <x:v>1</x:v>
      </x:c>
      <x:c r="J14" s="35" t="n">
        <x:f>IF(OR($E14="",$F14="Unscheduled"),"",IF($AA14="Either date",IF(OR(J$12=$E14,J$12=$F14),3,""),IF(AND(J$12&gt;=$E14,J$12&lt;=$F14),IF($AA14="Milestone",IF(AND(OR($D14="Complete",$D14="Submitted"),$F14&gt;Sources!$C$5),"T",2),IF(AND(OR($D14="Complete",$D14="Submitted"),J$12&gt;Sources!$C$5),4,1)),"")))</x:f>
        <x:v>1</x:v>
      </x:c>
      <x:c r="K14" s="35" t="n">
        <x:f>IF(OR($E14="",$F14="Unscheduled"),"",IF($AA14="Either date",IF(OR(K$12=$E14,K$12=$F14),3,""),IF(AND(K$12&gt;=$E14,K$12&lt;=$F14),IF($AA14="Milestone",IF(AND(OR($D14="Complete",$D14="Submitted"),$F14&gt;Sources!$C$5),"T",2),IF(AND(OR($D14="Complete",$D14="Submitted"),K$12&gt;Sources!$C$5),4,1)),"")))</x:f>
        <x:v>1</x:v>
      </x:c>
      <x:c r="L14" s="35" t="n">
        <x:f>IF(OR($E14="",$F14="Unscheduled"),"",IF($AA14="Either date",IF(OR(L$12=$E14,L$12=$F14),3,""),IF(AND(L$12&gt;=$E14,L$12&lt;=$F14),IF($AA14="Milestone",IF(AND(OR($D14="Complete",$D14="Submitted"),$F14&gt;Sources!$C$5),"T",2),IF(AND(OR($D14="Complete",$D14="Submitted"),L$12&gt;Sources!$C$5),4,1)),"")))</x:f>
        <x:v>4</x:v>
      </x:c>
      <x:c r="M14" s="35" t="n">
        <x:f>IF(OR($E14="",$F14="Unscheduled"),"",IF($AA14="Either date",IF(OR(M$12=$E14,M$12=$F14),3,""),IF(AND(M$12&gt;=$E14,M$12&lt;=$F14),IF($AA14="Milestone",IF(AND(OR($D14="Complete",$D14="Submitted"),$F14&gt;Sources!$C$5),"T",2),IF(AND(OR($D14="Complete",$D14="Submitted"),M$12&gt;Sources!$C$5),4,1)),"")))</x:f>
        <x:v>4</x:v>
      </x:c>
      <x:c r="N14" s="35" t="n">
        <x:f>IF(OR($E14="",$F14="Unscheduled"),"",IF($AA14="Either date",IF(OR(N$12=$E14,N$12=$F14),3,""),IF(AND(N$12&gt;=$E14,N$12&lt;=$F14),IF($AA14="Milestone",IF(AND(OR($D14="Complete",$D14="Submitted"),$F14&gt;Sources!$C$5),"T",2),IF(AND(OR($D14="Complete",$D14="Submitted"),N$12&gt;Sources!$C$5),4,1)),"")))</x:f>
        <x:v>4</x:v>
      </x:c>
      <x:c r="O14" s="35" t="str">
        <x:f>IF(OR($E14="",$F14="Unscheduled"),"",IF($AA14="Either date",IF(OR(O$12=$E14,O$12=$F14),3,""),IF(AND(O$12&gt;=$E14,O$12&lt;=$F14),IF($AA14="Milestone",IF(AND(OR($D14="Complete",$D14="Submitted"),$F14&gt;Sources!$C$5),"T",2),IF(AND(OR($D14="Complete",$D14="Submitted"),O$12&gt;Sources!$C$5),4,1)),"")))</x:f>
      </x:c>
      <x:c r="P14" s="35" t="str">
        <x:f>IF(OR($E14="",$F14="Unscheduled"),"",IF($AA14="Either date",IF(OR(P$12=$E14,P$12=$F14),3,""),IF(AND(P$12&gt;=$E14,P$12&lt;=$F14),IF($AA14="Milestone",IF(AND(OR($D14="Complete",$D14="Submitted"),$F14&gt;Sources!$C$5),"T",2),IF(AND(OR($D14="Complete",$D14="Submitted"),P$12&gt;Sources!$C$5),4,1)),"")))</x:f>
      </x:c>
      <x:c r="Q14" s="35" t="str">
        <x:f>IF(OR($E14="",$F14="Unscheduled"),"",IF($AA14="Either date",IF(OR(Q$12=$E14,Q$12=$F14),3,""),IF(AND(Q$12&gt;=$E14,Q$12&lt;=$F14),IF($AA14="Milestone",IF(AND(OR($D14="Complete",$D14="Submitted"),$F14&gt;Sources!$C$5),"T",2),IF(AND(OR($D14="Complete",$D14="Submitted"),Q$12&gt;Sources!$C$5),4,1)),"")))</x:f>
      </x:c>
      <x:c r="R14" s="35" t="str">
        <x:f>IF(OR($E14="",$F14="Unscheduled"),"",IF($AA14="Either date",IF(OR(R$12=$E14,R$12=$F14),3,""),IF(AND(R$12&gt;=$E14,R$12&lt;=$F14),IF($AA14="Milestone",IF(AND(OR($D14="Complete",$D14="Submitted"),$F14&gt;Sources!$C$5),"T",2),IF(AND(OR($D14="Complete",$D14="Submitted"),R$12&gt;Sources!$C$5),4,1)),"")))</x:f>
      </x:c>
      <x:c r="S14" s="35" t="str">
        <x:f>IF(OR($E14="",$F14="Unscheduled"),"",IF($AA14="Either date",IF(OR(S$12=$E14,S$12=$F14),3,""),IF(AND(S$12&gt;=$E14,S$12&lt;=$F14),IF($AA14="Milestone",IF(AND(OR($D14="Complete",$D14="Submitted"),$F14&gt;Sources!$C$5),"T",2),IF(AND(OR($D14="Complete",$D14="Submitted"),S$12&gt;Sources!$C$5),4,1)),"")))</x:f>
      </x:c>
      <x:c r="T14" s="35" t="str">
        <x:f>IF(OR($E14="",$F14="Unscheduled"),"",IF($AA14="Either date",IF(OR(T$12=$E14,T$12=$F14),3,""),IF(AND(T$12&gt;=$E14,T$12&lt;=$F14),IF($AA14="Milestone",IF(AND(OR($D14="Complete",$D14="Submitted"),$F14&gt;Sources!$C$5),"T",2),IF(AND(OR($D14="Complete",$D14="Submitted"),T$12&gt;Sources!$C$5),4,1)),"")))</x:f>
      </x:c>
      <x:c r="U14" s="35" t="str">
        <x:f>IF(OR($E14="",$F14="Unscheduled"),"",IF($AA14="Either date",IF(OR(U$12=$E14,U$12=$F14),3,""),IF(AND(U$12&gt;=$E14,U$12&lt;=$F14),IF($AA14="Milestone",IF(AND(OR($D14="Complete",$D14="Submitted"),$F14&gt;Sources!$C$5),"T",2),IF(AND(OR($D14="Complete",$D14="Submitted"),U$12&gt;Sources!$C$5),4,1)),"")))</x:f>
      </x:c>
      <x:c r="V14" s="35" t="str">
        <x:f>IF(OR($E14="",$F14="Unscheduled"),"",IF($AA14="Either date",IF(OR(V$12=$E14,V$12=$F14),3,""),IF(AND(V$12&gt;=$E14,V$12&lt;=$F14),IF($AA14="Milestone",IF(AND(OR($D14="Complete",$D14="Submitted"),$F14&gt;Sources!$C$5),"T",2),IF(AND(OR($D14="Complete",$D14="Submitted"),V$12&gt;Sources!$C$5),4,1)),"")))</x:f>
      </x:c>
      <x:c r="W14" s="35" t="str">
        <x:f>IF(OR($E14="",$F14="Unscheduled"),"",IF($AA14="Either date",IF(OR(W$12=$E14,W$12=$F14),3,""),IF(AND(W$12&gt;=$E14,W$12&lt;=$F14),IF($AA14="Milestone",IF(AND(OR($D14="Complete",$D14="Submitted"),$F14&gt;Sources!$C$5),"T",2),IF(AND(OR($D14="Complete",$D14="Submitted"),W$12&gt;Sources!$C$5),4,1)),"")))</x:f>
      </x:c>
      <x:c r="X14" s="35" t="str">
        <x:f>IF(OR($E14="",$F14="Unscheduled"),"",IF($AA14="Either date",IF(OR(X$12=$E14,X$12=$F14),3,""),IF(AND(X$12&gt;=$E14,X$12&lt;=$F14),IF($AA14="Milestone",IF(AND(OR($D14="Complete",$D14="Submitted"),$F14&gt;Sources!$C$5),"T",2),IF(AND(OR($D14="Complete",$D14="Submitted"),X$12&gt;Sources!$C$5),4,1)),"")))</x:f>
      </x:c>
      <x:c r="Y14" s="35" t="str">
        <x:f>IF(OR($E14="",$F14="Unscheduled"),"",IF($AA14="Either date",IF(OR(Y$12=$E14,Y$12=$F14),3,""),IF(AND(Y$12&gt;=$E14,Y$12&lt;=$F14),IF($AA14="Milestone",IF(AND(OR($D14="Complete",$D14="Submitted"),$F14&gt;Sources!$C$5),"T",2),IF(AND(OR($D14="Complete",$D14="Submitted"),Y$12&gt;Sources!$C$5),4,1)),"")))</x:f>
      </x:c>
      <x:c r="Z14" s="2"/>
      <x:c r="AA14" s="2" t="str">
        <x:f>'Full schedule'!I27</x:f>
        <x:v>Window</x:v>
      </x:c>
    </x:row>
    <x:row r="15" ht="44" customHeight="1">
      <x:c r="A15" s="2" t="str">
        <x:f>'Full schedule'!A28</x:f>
        <x:v>PR2</x:v>
      </x:c>
      <x:c r="B15" s="18" t="str">
        <x:f>'Full schedule'!B28</x:f>
        <x:v>Fit the cardboard mockup and check the camera view</x:v>
      </x:c>
      <x:c r="C15" s="18" t="str">
        <x:f>'Full schedule'!C28</x:f>
        <x:v>Daniel; all four</x:v>
      </x:c>
      <x:c r="D15" s="2" t="str">
        <x:f>IF('Full schedule'!G28="Review","Review dates",'Full schedule'!D28)</x:f>
        <x:v>Complete</x:v>
      </x:c>
      <x:c r="E15" s="43" t="n">
        <x:f>IF('Full schedule'!E28="","",'Full schedule'!E28)</x:f>
        <x:v>46309</x:v>
      </x:c>
      <x:c r="F15" s="43" t="n">
        <x:f>IF('Full schedule'!F28="",IF(OR('Full schedule'!D28="Complete",'Full schedule'!D28="Submitted"),"n.a.","Unscheduled"),'Full schedule'!F28)</x:f>
        <x:v>46321</x:v>
      </x:c>
      <x:c r="G15" s="35" t="n">
        <x:f>IF(OR($E15="",$F15="Unscheduled"),"",IF($AA15="Either date",IF(OR(G$12=$E15,G$12=$F15),3,""),IF(AND(G$12&gt;=$E15,G$12&lt;=$F15),IF($AA15="Milestone",IF(AND(OR($D15="Complete",$D15="Submitted"),$F15&gt;Sources!$C$5),"T",2),IF(AND(OR($D15="Complete",$D15="Submitted"),G$12&gt;Sources!$C$5),4,1)),"")))</x:f>
        <x:v>1</x:v>
      </x:c>
      <x:c r="H15" s="35" t="n">
        <x:f>IF(OR($E15="",$F15="Unscheduled"),"",IF($AA15="Either date",IF(OR(H$12=$E15,H$12=$F15),3,""),IF(AND(H$12&gt;=$E15,H$12&lt;=$F15),IF($AA15="Milestone",IF(AND(OR($D15="Complete",$D15="Submitted"),$F15&gt;Sources!$C$5),"T",2),IF(AND(OR($D15="Complete",$D15="Submitted"),H$12&gt;Sources!$C$5),4,1)),"")))</x:f>
        <x:v>1</x:v>
      </x:c>
      <x:c r="I15" s="35" t="n">
        <x:f>IF(OR($E15="",$F15="Unscheduled"),"",IF($AA15="Either date",IF(OR(I$12=$E15,I$12=$F15),3,""),IF(AND(I$12&gt;=$E15,I$12&lt;=$F15),IF($AA15="Milestone",IF(AND(OR($D15="Complete",$D15="Submitted"),$F15&gt;Sources!$C$5),"T",2),IF(AND(OR($D15="Complete",$D15="Submitted"),I$12&gt;Sources!$C$5),4,1)),"")))</x:f>
        <x:v>1</x:v>
      </x:c>
      <x:c r="J15" s="35" t="n">
        <x:f>IF(OR($E15="",$F15="Unscheduled"),"",IF($AA15="Either date",IF(OR(J$12=$E15,J$12=$F15),3,""),IF(AND(J$12&gt;=$E15,J$12&lt;=$F15),IF($AA15="Milestone",IF(AND(OR($D15="Complete",$D15="Submitted"),$F15&gt;Sources!$C$5),"T",2),IF(AND(OR($D15="Complete",$D15="Submitted"),J$12&gt;Sources!$C$5),4,1)),"")))</x:f>
        <x:v>1</x:v>
      </x:c>
      <x:c r="K15" s="35" t="n">
        <x:f>IF(OR($E15="",$F15="Unscheduled"),"",IF($AA15="Either date",IF(OR(K$12=$E15,K$12=$F15),3,""),IF(AND(K$12&gt;=$E15,K$12&lt;=$F15),IF($AA15="Milestone",IF(AND(OR($D15="Complete",$D15="Submitted"),$F15&gt;Sources!$C$5),"T",2),IF(AND(OR($D15="Complete",$D15="Submitted"),K$12&gt;Sources!$C$5),4,1)),"")))</x:f>
        <x:v>1</x:v>
      </x:c>
      <x:c r="L15" s="35" t="n">
        <x:f>IF(OR($E15="",$F15="Unscheduled"),"",IF($AA15="Either date",IF(OR(L$12=$E15,L$12=$F15),3,""),IF(AND(L$12&gt;=$E15,L$12&lt;=$F15),IF($AA15="Milestone",IF(AND(OR($D15="Complete",$D15="Submitted"),$F15&gt;Sources!$C$5),"T",2),IF(AND(OR($D15="Complete",$D15="Submitted"),L$12&gt;Sources!$C$5),4,1)),"")))</x:f>
        <x:v>4</x:v>
      </x:c>
      <x:c r="M15" s="35" t="n">
        <x:f>IF(OR($E15="",$F15="Unscheduled"),"",IF($AA15="Either date",IF(OR(M$12=$E15,M$12=$F15),3,""),IF(AND(M$12&gt;=$E15,M$12&lt;=$F15),IF($AA15="Milestone",IF(AND(OR($D15="Complete",$D15="Submitted"),$F15&gt;Sources!$C$5),"T",2),IF(AND(OR($D15="Complete",$D15="Submitted"),M$12&gt;Sources!$C$5),4,1)),"")))</x:f>
        <x:v>4</x:v>
      </x:c>
      <x:c r="N15" s="35" t="n">
        <x:f>IF(OR($E15="",$F15="Unscheduled"),"",IF($AA15="Either date",IF(OR(N$12=$E15,N$12=$F15),3,""),IF(AND(N$12&gt;=$E15,N$12&lt;=$F15),IF($AA15="Milestone",IF(AND(OR($D15="Complete",$D15="Submitted"),$F15&gt;Sources!$C$5),"T",2),IF(AND(OR($D15="Complete",$D15="Submitted"),N$12&gt;Sources!$C$5),4,1)),"")))</x:f>
        <x:v>4</x:v>
      </x:c>
      <x:c r="O15" s="35" t="str">
        <x:f>IF(OR($E15="",$F15="Unscheduled"),"",IF($AA15="Either date",IF(OR(O$12=$E15,O$12=$F15),3,""),IF(AND(O$12&gt;=$E15,O$12&lt;=$F15),IF($AA15="Milestone",IF(AND(OR($D15="Complete",$D15="Submitted"),$F15&gt;Sources!$C$5),"T",2),IF(AND(OR($D15="Complete",$D15="Submitted"),O$12&gt;Sources!$C$5),4,1)),"")))</x:f>
      </x:c>
      <x:c r="P15" s="35" t="str">
        <x:f>IF(OR($E15="",$F15="Unscheduled"),"",IF($AA15="Either date",IF(OR(P$12=$E15,P$12=$F15),3,""),IF(AND(P$12&gt;=$E15,P$12&lt;=$F15),IF($AA15="Milestone",IF(AND(OR($D15="Complete",$D15="Submitted"),$F15&gt;Sources!$C$5),"T",2),IF(AND(OR($D15="Complete",$D15="Submitted"),P$12&gt;Sources!$C$5),4,1)),"")))</x:f>
      </x:c>
      <x:c r="Q15" s="35" t="str">
        <x:f>IF(OR($E15="",$F15="Unscheduled"),"",IF($AA15="Either date",IF(OR(Q$12=$E15,Q$12=$F15),3,""),IF(AND(Q$12&gt;=$E15,Q$12&lt;=$F15),IF($AA15="Milestone",IF(AND(OR($D15="Complete",$D15="Submitted"),$F15&gt;Sources!$C$5),"T",2),IF(AND(OR($D15="Complete",$D15="Submitted"),Q$12&gt;Sources!$C$5),4,1)),"")))</x:f>
      </x:c>
      <x:c r="R15" s="35" t="str">
        <x:f>IF(OR($E15="",$F15="Unscheduled"),"",IF($AA15="Either date",IF(OR(R$12=$E15,R$12=$F15),3,""),IF(AND(R$12&gt;=$E15,R$12&lt;=$F15),IF($AA15="Milestone",IF(AND(OR($D15="Complete",$D15="Submitted"),$F15&gt;Sources!$C$5),"T",2),IF(AND(OR($D15="Complete",$D15="Submitted"),R$12&gt;Sources!$C$5),4,1)),"")))</x:f>
      </x:c>
      <x:c r="S15" s="35" t="str">
        <x:f>IF(OR($E15="",$F15="Unscheduled"),"",IF($AA15="Either date",IF(OR(S$12=$E15,S$12=$F15),3,""),IF(AND(S$12&gt;=$E15,S$12&lt;=$F15),IF($AA15="Milestone",IF(AND(OR($D15="Complete",$D15="Submitted"),$F15&gt;Sources!$C$5),"T",2),IF(AND(OR($D15="Complete",$D15="Submitted"),S$12&gt;Sources!$C$5),4,1)),"")))</x:f>
      </x:c>
      <x:c r="T15" s="35" t="str">
        <x:f>IF(OR($E15="",$F15="Unscheduled"),"",IF($AA15="Either date",IF(OR(T$12=$E15,T$12=$F15),3,""),IF(AND(T$12&gt;=$E15,T$12&lt;=$F15),IF($AA15="Milestone",IF(AND(OR($D15="Complete",$D15="Submitted"),$F15&gt;Sources!$C$5),"T",2),IF(AND(OR($D15="Complete",$D15="Submitted"),T$12&gt;Sources!$C$5),4,1)),"")))</x:f>
      </x:c>
      <x:c r="U15" s="35" t="str">
        <x:f>IF(OR($E15="",$F15="Unscheduled"),"",IF($AA15="Either date",IF(OR(U$12=$E15,U$12=$F15),3,""),IF(AND(U$12&gt;=$E15,U$12&lt;=$F15),IF($AA15="Milestone",IF(AND(OR($D15="Complete",$D15="Submitted"),$F15&gt;Sources!$C$5),"T",2),IF(AND(OR($D15="Complete",$D15="Submitted"),U$12&gt;Sources!$C$5),4,1)),"")))</x:f>
      </x:c>
      <x:c r="V15" s="35" t="str">
        <x:f>IF(OR($E15="",$F15="Unscheduled"),"",IF($AA15="Either date",IF(OR(V$12=$E15,V$12=$F15),3,""),IF(AND(V$12&gt;=$E15,V$12&lt;=$F15),IF($AA15="Milestone",IF(AND(OR($D15="Complete",$D15="Submitted"),$F15&gt;Sources!$C$5),"T",2),IF(AND(OR($D15="Complete",$D15="Submitted"),V$12&gt;Sources!$C$5),4,1)),"")))</x:f>
      </x:c>
      <x:c r="W15" s="35" t="str">
        <x:f>IF(OR($E15="",$F15="Unscheduled"),"",IF($AA15="Either date",IF(OR(W$12=$E15,W$12=$F15),3,""),IF(AND(W$12&gt;=$E15,W$12&lt;=$F15),IF($AA15="Milestone",IF(AND(OR($D15="Complete",$D15="Submitted"),$F15&gt;Sources!$C$5),"T",2),IF(AND(OR($D15="Complete",$D15="Submitted"),W$12&gt;Sources!$C$5),4,1)),"")))</x:f>
      </x:c>
      <x:c r="X15" s="35" t="str">
        <x:f>IF(OR($E15="",$F15="Unscheduled"),"",IF($AA15="Either date",IF(OR(X$12=$E15,X$12=$F15),3,""),IF(AND(X$12&gt;=$E15,X$12&lt;=$F15),IF($AA15="Milestone",IF(AND(OR($D15="Complete",$D15="Submitted"),$F15&gt;Sources!$C$5),"T",2),IF(AND(OR($D15="Complete",$D15="Submitted"),X$12&gt;Sources!$C$5),4,1)),"")))</x:f>
      </x:c>
      <x:c r="Y15" s="35" t="str">
        <x:f>IF(OR($E15="",$F15="Unscheduled"),"",IF($AA15="Either date",IF(OR(Y$12=$E15,Y$12=$F15),3,""),IF(AND(Y$12&gt;=$E15,Y$12&lt;=$F15),IF($AA15="Milestone",IF(AND(OR($D15="Complete",$D15="Submitted"),$F15&gt;Sources!$C$5),"T",2),IF(AND(OR($D15="Complete",$D15="Submitted"),Y$12&gt;Sources!$C$5),4,1)),"")))</x:f>
      </x:c>
      <x:c r="Z15" s="2"/>
      <x:c r="AA15" s="2" t="str">
        <x:f>'Full schedule'!I28</x:f>
        <x:v>Window</x:v>
      </x:c>
    </x:row>
    <x:row r="16" ht="44" customHeight="1">
      <x:c r="A16" s="36" t="str">
        <x:f>'Full schedule'!A29</x:f>
        <x:v>PR3</x:v>
      </x:c>
      <x:c r="B16" s="37" t="str">
        <x:f>'Full schedule'!B29</x:f>
        <x:v>Use camera recognition to control the light and buzzer</x:v>
      </x:c>
      <x:c r="C16" s="37" t="str">
        <x:f>'Full schedule'!C29</x:f>
        <x:v>Emmett; all four</x:v>
      </x:c>
      <x:c r="D16" s="36" t="str">
        <x:f>IF('Full schedule'!G29="Review","Review dates",'Full schedule'!D29)</x:f>
        <x:v>Complete</x:v>
      </x:c>
      <x:c r="E16" s="44" t="n">
        <x:f>IF('Full schedule'!E29="","",'Full schedule'!E29)</x:f>
        <x:v>46309</x:v>
      </x:c>
      <x:c r="F16" s="44" t="n">
        <x:f>IF('Full schedule'!F29="",IF(OR('Full schedule'!D29="Complete",'Full schedule'!D29="Submitted"),"n.a.","Unscheduled"),'Full schedule'!F29)</x:f>
        <x:v>46321</x:v>
      </x:c>
      <x:c r="G16" s="35" t="n">
        <x:f>IF(OR($E16="",$F16="Unscheduled"),"",IF($AA16="Either date",IF(OR(G$12=$E16,G$12=$F16),3,""),IF(AND(G$12&gt;=$E16,G$12&lt;=$F16),IF($AA16="Milestone",IF(AND(OR($D16="Complete",$D16="Submitted"),$F16&gt;Sources!$C$5),"T",2),IF(AND(OR($D16="Complete",$D16="Submitted"),G$12&gt;Sources!$C$5),4,1)),"")))</x:f>
        <x:v>1</x:v>
      </x:c>
      <x:c r="H16" s="35" t="n">
        <x:f>IF(OR($E16="",$F16="Unscheduled"),"",IF($AA16="Either date",IF(OR(H$12=$E16,H$12=$F16),3,""),IF(AND(H$12&gt;=$E16,H$12&lt;=$F16),IF($AA16="Milestone",IF(AND(OR($D16="Complete",$D16="Submitted"),$F16&gt;Sources!$C$5),"T",2),IF(AND(OR($D16="Complete",$D16="Submitted"),H$12&gt;Sources!$C$5),4,1)),"")))</x:f>
        <x:v>1</x:v>
      </x:c>
      <x:c r="I16" s="35" t="n">
        <x:f>IF(OR($E16="",$F16="Unscheduled"),"",IF($AA16="Either date",IF(OR(I$12=$E16,I$12=$F16),3,""),IF(AND(I$12&gt;=$E16,I$12&lt;=$F16),IF($AA16="Milestone",IF(AND(OR($D16="Complete",$D16="Submitted"),$F16&gt;Sources!$C$5),"T",2),IF(AND(OR($D16="Complete",$D16="Submitted"),I$12&gt;Sources!$C$5),4,1)),"")))</x:f>
        <x:v>1</x:v>
      </x:c>
      <x:c r="J16" s="35" t="n">
        <x:f>IF(OR($E16="",$F16="Unscheduled"),"",IF($AA16="Either date",IF(OR(J$12=$E16,J$12=$F16),3,""),IF(AND(J$12&gt;=$E16,J$12&lt;=$F16),IF($AA16="Milestone",IF(AND(OR($D16="Complete",$D16="Submitted"),$F16&gt;Sources!$C$5),"T",2),IF(AND(OR($D16="Complete",$D16="Submitted"),J$12&gt;Sources!$C$5),4,1)),"")))</x:f>
        <x:v>1</x:v>
      </x:c>
      <x:c r="K16" s="35" t="n">
        <x:f>IF(OR($E16="",$F16="Unscheduled"),"",IF($AA16="Either date",IF(OR(K$12=$E16,K$12=$F16),3,""),IF(AND(K$12&gt;=$E16,K$12&lt;=$F16),IF($AA16="Milestone",IF(AND(OR($D16="Complete",$D16="Submitted"),$F16&gt;Sources!$C$5),"T",2),IF(AND(OR($D16="Complete",$D16="Submitted"),K$12&gt;Sources!$C$5),4,1)),"")))</x:f>
        <x:v>1</x:v>
      </x:c>
      <x:c r="L16" s="35" t="n">
        <x:f>IF(OR($E16="",$F16="Unscheduled"),"",IF($AA16="Either date",IF(OR(L$12=$E16,L$12=$F16),3,""),IF(AND(L$12&gt;=$E16,L$12&lt;=$F16),IF($AA16="Milestone",IF(AND(OR($D16="Complete",$D16="Submitted"),$F16&gt;Sources!$C$5),"T",2),IF(AND(OR($D16="Complete",$D16="Submitted"),L$12&gt;Sources!$C$5),4,1)),"")))</x:f>
        <x:v>4</x:v>
      </x:c>
      <x:c r="M16" s="35" t="n">
        <x:f>IF(OR($E16="",$F16="Unscheduled"),"",IF($AA16="Either date",IF(OR(M$12=$E16,M$12=$F16),3,""),IF(AND(M$12&gt;=$E16,M$12&lt;=$F16),IF($AA16="Milestone",IF(AND(OR($D16="Complete",$D16="Submitted"),$F16&gt;Sources!$C$5),"T",2),IF(AND(OR($D16="Complete",$D16="Submitted"),M$12&gt;Sources!$C$5),4,1)),"")))</x:f>
        <x:v>4</x:v>
      </x:c>
      <x:c r="N16" s="35" t="n">
        <x:f>IF(OR($E16="",$F16="Unscheduled"),"",IF($AA16="Either date",IF(OR(N$12=$E16,N$12=$F16),3,""),IF(AND(N$12&gt;=$E16,N$12&lt;=$F16),IF($AA16="Milestone",IF(AND(OR($D16="Complete",$D16="Submitted"),$F16&gt;Sources!$C$5),"T",2),IF(AND(OR($D16="Complete",$D16="Submitted"),N$12&gt;Sources!$C$5),4,1)),"")))</x:f>
        <x:v>4</x:v>
      </x:c>
      <x:c r="O16" s="35" t="str">
        <x:f>IF(OR($E16="",$F16="Unscheduled"),"",IF($AA16="Either date",IF(OR(O$12=$E16,O$12=$F16),3,""),IF(AND(O$12&gt;=$E16,O$12&lt;=$F16),IF($AA16="Milestone",IF(AND(OR($D16="Complete",$D16="Submitted"),$F16&gt;Sources!$C$5),"T",2),IF(AND(OR($D16="Complete",$D16="Submitted"),O$12&gt;Sources!$C$5),4,1)),"")))</x:f>
      </x:c>
      <x:c r="P16" s="35" t="str">
        <x:f>IF(OR($E16="",$F16="Unscheduled"),"",IF($AA16="Either date",IF(OR(P$12=$E16,P$12=$F16),3,""),IF(AND(P$12&gt;=$E16,P$12&lt;=$F16),IF($AA16="Milestone",IF(AND(OR($D16="Complete",$D16="Submitted"),$F16&gt;Sources!$C$5),"T",2),IF(AND(OR($D16="Complete",$D16="Submitted"),P$12&gt;Sources!$C$5),4,1)),"")))</x:f>
      </x:c>
      <x:c r="Q16" s="35" t="str">
        <x:f>IF(OR($E16="",$F16="Unscheduled"),"",IF($AA16="Either date",IF(OR(Q$12=$E16,Q$12=$F16),3,""),IF(AND(Q$12&gt;=$E16,Q$12&lt;=$F16),IF($AA16="Milestone",IF(AND(OR($D16="Complete",$D16="Submitted"),$F16&gt;Sources!$C$5),"T",2),IF(AND(OR($D16="Complete",$D16="Submitted"),Q$12&gt;Sources!$C$5),4,1)),"")))</x:f>
      </x:c>
      <x:c r="R16" s="35" t="str">
        <x:f>IF(OR($E16="",$F16="Unscheduled"),"",IF($AA16="Either date",IF(OR(R$12=$E16,R$12=$F16),3,""),IF(AND(R$12&gt;=$E16,R$12&lt;=$F16),IF($AA16="Milestone",IF(AND(OR($D16="Complete",$D16="Submitted"),$F16&gt;Sources!$C$5),"T",2),IF(AND(OR($D16="Complete",$D16="Submitted"),R$12&gt;Sources!$C$5),4,1)),"")))</x:f>
      </x:c>
      <x:c r="S16" s="35" t="str">
        <x:f>IF(OR($E16="",$F16="Unscheduled"),"",IF($AA16="Either date",IF(OR(S$12=$E16,S$12=$F16),3,""),IF(AND(S$12&gt;=$E16,S$12&lt;=$F16),IF($AA16="Milestone",IF(AND(OR($D16="Complete",$D16="Submitted"),$F16&gt;Sources!$C$5),"T",2),IF(AND(OR($D16="Complete",$D16="Submitted"),S$12&gt;Sources!$C$5),4,1)),"")))</x:f>
      </x:c>
      <x:c r="T16" s="35" t="str">
        <x:f>IF(OR($E16="",$F16="Unscheduled"),"",IF($AA16="Either date",IF(OR(T$12=$E16,T$12=$F16),3,""),IF(AND(T$12&gt;=$E16,T$12&lt;=$F16),IF($AA16="Milestone",IF(AND(OR($D16="Complete",$D16="Submitted"),$F16&gt;Sources!$C$5),"T",2),IF(AND(OR($D16="Complete",$D16="Submitted"),T$12&gt;Sources!$C$5),4,1)),"")))</x:f>
      </x:c>
      <x:c r="U16" s="35" t="str">
        <x:f>IF(OR($E16="",$F16="Unscheduled"),"",IF($AA16="Either date",IF(OR(U$12=$E16,U$12=$F16),3,""),IF(AND(U$12&gt;=$E16,U$12&lt;=$F16),IF($AA16="Milestone",IF(AND(OR($D16="Complete",$D16="Submitted"),$F16&gt;Sources!$C$5),"T",2),IF(AND(OR($D16="Complete",$D16="Submitted"),U$12&gt;Sources!$C$5),4,1)),"")))</x:f>
      </x:c>
      <x:c r="V16" s="35" t="str">
        <x:f>IF(OR($E16="",$F16="Unscheduled"),"",IF($AA16="Either date",IF(OR(V$12=$E16,V$12=$F16),3,""),IF(AND(V$12&gt;=$E16,V$12&lt;=$F16),IF($AA16="Milestone",IF(AND(OR($D16="Complete",$D16="Submitted"),$F16&gt;Sources!$C$5),"T",2),IF(AND(OR($D16="Complete",$D16="Submitted"),V$12&gt;Sources!$C$5),4,1)),"")))</x:f>
      </x:c>
      <x:c r="W16" s="35" t="str">
        <x:f>IF(OR($E16="",$F16="Unscheduled"),"",IF($AA16="Either date",IF(OR(W$12=$E16,W$12=$F16),3,""),IF(AND(W$12&gt;=$E16,W$12&lt;=$F16),IF($AA16="Milestone",IF(AND(OR($D16="Complete",$D16="Submitted"),$F16&gt;Sources!$C$5),"T",2),IF(AND(OR($D16="Complete",$D16="Submitted"),W$12&gt;Sources!$C$5),4,1)),"")))</x:f>
      </x:c>
      <x:c r="X16" s="35" t="str">
        <x:f>IF(OR($E16="",$F16="Unscheduled"),"",IF($AA16="Either date",IF(OR(X$12=$E16,X$12=$F16),3,""),IF(AND(X$12&gt;=$E16,X$12&lt;=$F16),IF($AA16="Milestone",IF(AND(OR($D16="Complete",$D16="Submitted"),$F16&gt;Sources!$C$5),"T",2),IF(AND(OR($D16="Complete",$D16="Submitted"),X$12&gt;Sources!$C$5),4,1)),"")))</x:f>
      </x:c>
      <x:c r="Y16" s="35" t="str">
        <x:f>IF(OR($E16="",$F16="Unscheduled"),"",IF($AA16="Either date",IF(OR(Y$12=$E16,Y$12=$F16),3,""),IF(AND(Y$12&gt;=$E16,Y$12&lt;=$F16),IF($AA16="Milestone",IF(AND(OR($D16="Complete",$D16="Submitted"),$F16&gt;Sources!$C$5),"T",2),IF(AND(OR($D16="Complete",$D16="Submitted"),Y$12&gt;Sources!$C$5),4,1)),"")))</x:f>
      </x:c>
      <x:c r="Z16" s="2"/>
      <x:c r="AA16" s="2" t="str">
        <x:f>'Full schedule'!I29</x:f>
        <x:v>Window</x:v>
      </x:c>
    </x:row>
    <x:row r="17" ht="44" customHeight="1">
      <x:c r="A17" s="2" t="str">
        <x:f>'Full schedule'!A30</x:f>
        <x:v>PR4</x:v>
      </x:c>
      <x:c r="B17" s="18" t="str">
        <x:f>'Full schedule'!B30</x:f>
        <x:v>Assess rechargeable power</x:v>
      </x:c>
      <x:c r="C17" s="18" t="str">
        <x:f>'Full schedule'!C30</x:f>
        <x:v>All four</x:v>
      </x:c>
      <x:c r="D17" s="2" t="str">
        <x:f>IF('Full schedule'!G30="Review","Review dates",'Full schedule'!D30)</x:f>
        <x:v>In progress</x:v>
      </x:c>
      <x:c r="E17" s="43" t="str">
        <x:f>IF('Full schedule'!E30="","",'Full schedule'!E30)</x:f>
      </x:c>
      <x:c r="F17" s="43" t="str">
        <x:f>IF('Full schedule'!F30="",IF(OR('Full schedule'!D30="Complete",'Full schedule'!D30="Submitted"),"n.a.","Unscheduled"),'Full schedule'!F30)</x:f>
        <x:v>Unscheduled</x:v>
      </x:c>
      <x:c r="G17" s="35" t="str">
        <x:f>IF(OR($E17="",$F17="Unscheduled"),"",IF($AA17="Either date",IF(OR(G$12=$E17,G$12=$F17),3,""),IF(AND(G$12&gt;=$E17,G$12&lt;=$F17),IF($AA17="Milestone",IF(AND(OR($D17="Complete",$D17="Submitted"),$F17&gt;Sources!$C$5),"T",2),IF(AND(OR($D17="Complete",$D17="Submitted"),G$12&gt;Sources!$C$5),4,1)),"")))</x:f>
      </x:c>
      <x:c r="H17" s="35" t="str">
        <x:f>IF(OR($E17="",$F17="Unscheduled"),"",IF($AA17="Either date",IF(OR(H$12=$E17,H$12=$F17),3,""),IF(AND(H$12&gt;=$E17,H$12&lt;=$F17),IF($AA17="Milestone",IF(AND(OR($D17="Complete",$D17="Submitted"),$F17&gt;Sources!$C$5),"T",2),IF(AND(OR($D17="Complete",$D17="Submitted"),H$12&gt;Sources!$C$5),4,1)),"")))</x:f>
      </x:c>
      <x:c r="I17" s="35" t="str">
        <x:f>IF(OR($E17="",$F17="Unscheduled"),"",IF($AA17="Either date",IF(OR(I$12=$E17,I$12=$F17),3,""),IF(AND(I$12&gt;=$E17,I$12&lt;=$F17),IF($AA17="Milestone",IF(AND(OR($D17="Complete",$D17="Submitted"),$F17&gt;Sources!$C$5),"T",2),IF(AND(OR($D17="Complete",$D17="Submitted"),I$12&gt;Sources!$C$5),4,1)),"")))</x:f>
      </x:c>
      <x:c r="J17" s="35" t="str">
        <x:f>IF(OR($E17="",$F17="Unscheduled"),"",IF($AA17="Either date",IF(OR(J$12=$E17,J$12=$F17),3,""),IF(AND(J$12&gt;=$E17,J$12&lt;=$F17),IF($AA17="Milestone",IF(AND(OR($D17="Complete",$D17="Submitted"),$F17&gt;Sources!$C$5),"T",2),IF(AND(OR($D17="Complete",$D17="Submitted"),J$12&gt;Sources!$C$5),4,1)),"")))</x:f>
      </x:c>
      <x:c r="K17" s="35" t="str">
        <x:f>IF(OR($E17="",$F17="Unscheduled"),"",IF($AA17="Either date",IF(OR(K$12=$E17,K$12=$F17),3,""),IF(AND(K$12&gt;=$E17,K$12&lt;=$F17),IF($AA17="Milestone",IF(AND(OR($D17="Complete",$D17="Submitted"),$F17&gt;Sources!$C$5),"T",2),IF(AND(OR($D17="Complete",$D17="Submitted"),K$12&gt;Sources!$C$5),4,1)),"")))</x:f>
      </x:c>
      <x:c r="L17" s="35" t="str">
        <x:f>IF(OR($E17="",$F17="Unscheduled"),"",IF($AA17="Either date",IF(OR(L$12=$E17,L$12=$F17),3,""),IF(AND(L$12&gt;=$E17,L$12&lt;=$F17),IF($AA17="Milestone",IF(AND(OR($D17="Complete",$D17="Submitted"),$F17&gt;Sources!$C$5),"T",2),IF(AND(OR($D17="Complete",$D17="Submitted"),L$12&gt;Sources!$C$5),4,1)),"")))</x:f>
      </x:c>
      <x:c r="M17" s="35" t="str">
        <x:f>IF(OR($E17="",$F17="Unscheduled"),"",IF($AA17="Either date",IF(OR(M$12=$E17,M$12=$F17),3,""),IF(AND(M$12&gt;=$E17,M$12&lt;=$F17),IF($AA17="Milestone",IF(AND(OR($D17="Complete",$D17="Submitted"),$F17&gt;Sources!$C$5),"T",2),IF(AND(OR($D17="Complete",$D17="Submitted"),M$12&gt;Sources!$C$5),4,1)),"")))</x:f>
      </x:c>
      <x:c r="N17" s="35" t="str">
        <x:f>IF(OR($E17="",$F17="Unscheduled"),"",IF($AA17="Either date",IF(OR(N$12=$E17,N$12=$F17),3,""),IF(AND(N$12&gt;=$E17,N$12&lt;=$F17),IF($AA17="Milestone",IF(AND(OR($D17="Complete",$D17="Submitted"),$F17&gt;Sources!$C$5),"T",2),IF(AND(OR($D17="Complete",$D17="Submitted"),N$12&gt;Sources!$C$5),4,1)),"")))</x:f>
      </x:c>
      <x:c r="O17" s="35" t="str">
        <x:f>IF(OR($E17="",$F17="Unscheduled"),"",IF($AA17="Either date",IF(OR(O$12=$E17,O$12=$F17),3,""),IF(AND(O$12&gt;=$E17,O$12&lt;=$F17),IF($AA17="Milestone",IF(AND(OR($D17="Complete",$D17="Submitted"),$F17&gt;Sources!$C$5),"T",2),IF(AND(OR($D17="Complete",$D17="Submitted"),O$12&gt;Sources!$C$5),4,1)),"")))</x:f>
      </x:c>
      <x:c r="P17" s="35" t="str">
        <x:f>IF(OR($E17="",$F17="Unscheduled"),"",IF($AA17="Either date",IF(OR(P$12=$E17,P$12=$F17),3,""),IF(AND(P$12&gt;=$E17,P$12&lt;=$F17),IF($AA17="Milestone",IF(AND(OR($D17="Complete",$D17="Submitted"),$F17&gt;Sources!$C$5),"T",2),IF(AND(OR($D17="Complete",$D17="Submitted"),P$12&gt;Sources!$C$5),4,1)),"")))</x:f>
      </x:c>
      <x:c r="Q17" s="35" t="str">
        <x:f>IF(OR($E17="",$F17="Unscheduled"),"",IF($AA17="Either date",IF(OR(Q$12=$E17,Q$12=$F17),3,""),IF(AND(Q$12&gt;=$E17,Q$12&lt;=$F17),IF($AA17="Milestone",IF(AND(OR($D17="Complete",$D17="Submitted"),$F17&gt;Sources!$C$5),"T",2),IF(AND(OR($D17="Complete",$D17="Submitted"),Q$12&gt;Sources!$C$5),4,1)),"")))</x:f>
      </x:c>
      <x:c r="R17" s="35" t="str">
        <x:f>IF(OR($E17="",$F17="Unscheduled"),"",IF($AA17="Either date",IF(OR(R$12=$E17,R$12=$F17),3,""),IF(AND(R$12&gt;=$E17,R$12&lt;=$F17),IF($AA17="Milestone",IF(AND(OR($D17="Complete",$D17="Submitted"),$F17&gt;Sources!$C$5),"T",2),IF(AND(OR($D17="Complete",$D17="Submitted"),R$12&gt;Sources!$C$5),4,1)),"")))</x:f>
      </x:c>
      <x:c r="S17" s="35" t="str">
        <x:f>IF(OR($E17="",$F17="Unscheduled"),"",IF($AA17="Either date",IF(OR(S$12=$E17,S$12=$F17),3,""),IF(AND(S$12&gt;=$E17,S$12&lt;=$F17),IF($AA17="Milestone",IF(AND(OR($D17="Complete",$D17="Submitted"),$F17&gt;Sources!$C$5),"T",2),IF(AND(OR($D17="Complete",$D17="Submitted"),S$12&gt;Sources!$C$5),4,1)),"")))</x:f>
      </x:c>
      <x:c r="T17" s="35" t="str">
        <x:f>IF(OR($E17="",$F17="Unscheduled"),"",IF($AA17="Either date",IF(OR(T$12=$E17,T$12=$F17),3,""),IF(AND(T$12&gt;=$E17,T$12&lt;=$F17),IF($AA17="Milestone",IF(AND(OR($D17="Complete",$D17="Submitted"),$F17&gt;Sources!$C$5),"T",2),IF(AND(OR($D17="Complete",$D17="Submitted"),T$12&gt;Sources!$C$5),4,1)),"")))</x:f>
      </x:c>
      <x:c r="U17" s="35" t="str">
        <x:f>IF(OR($E17="",$F17="Unscheduled"),"",IF($AA17="Either date",IF(OR(U$12=$E17,U$12=$F17),3,""),IF(AND(U$12&gt;=$E17,U$12&lt;=$F17),IF($AA17="Milestone",IF(AND(OR($D17="Complete",$D17="Submitted"),$F17&gt;Sources!$C$5),"T",2),IF(AND(OR($D17="Complete",$D17="Submitted"),U$12&gt;Sources!$C$5),4,1)),"")))</x:f>
      </x:c>
      <x:c r="V17" s="35" t="str">
        <x:f>IF(OR($E17="",$F17="Unscheduled"),"",IF($AA17="Either date",IF(OR(V$12=$E17,V$12=$F17),3,""),IF(AND(V$12&gt;=$E17,V$12&lt;=$F17),IF($AA17="Milestone",IF(AND(OR($D17="Complete",$D17="Submitted"),$F17&gt;Sources!$C$5),"T",2),IF(AND(OR($D17="Complete",$D17="Submitted"),V$12&gt;Sources!$C$5),4,1)),"")))</x:f>
      </x:c>
      <x:c r="W17" s="35" t="str">
        <x:f>IF(OR($E17="",$F17="Unscheduled"),"",IF($AA17="Either date",IF(OR(W$12=$E17,W$12=$F17),3,""),IF(AND(W$12&gt;=$E17,W$12&lt;=$F17),IF($AA17="Milestone",IF(AND(OR($D17="Complete",$D17="Submitted"),$F17&gt;Sources!$C$5),"T",2),IF(AND(OR($D17="Complete",$D17="Submitted"),W$12&gt;Sources!$C$5),4,1)),"")))</x:f>
      </x:c>
      <x:c r="X17" s="35" t="str">
        <x:f>IF(OR($E17="",$F17="Unscheduled"),"",IF($AA17="Either date",IF(OR(X$12=$E17,X$12=$F17),3,""),IF(AND(X$12&gt;=$E17,X$12&lt;=$F17),IF($AA17="Milestone",IF(AND(OR($D17="Complete",$D17="Submitted"),$F17&gt;Sources!$C$5),"T",2),IF(AND(OR($D17="Complete",$D17="Submitted"),X$12&gt;Sources!$C$5),4,1)),"")))</x:f>
      </x:c>
      <x:c r="Y17" s="35" t="str">
        <x:f>IF(OR($E17="",$F17="Unscheduled"),"",IF($AA17="Either date",IF(OR(Y$12=$E17,Y$12=$F17),3,""),IF(AND(Y$12&gt;=$E17,Y$12&lt;=$F17),IF($AA17="Milestone",IF(AND(OR($D17="Complete",$D17="Submitted"),$F17&gt;Sources!$C$5),"T",2),IF(AND(OR($D17="Complete",$D17="Submitted"),Y$12&gt;Sources!$C$5),4,1)),"")))</x:f>
      </x:c>
      <x:c r="Z17" s="2"/>
      <x:c r="AA17" s="2" t="str">
        <x:f>'Full schedule'!I30</x:f>
        <x:v>Window</x:v>
      </x:c>
    </x:row>
    <x:row r="18" ht="44" customHeight="1">
      <x:c r="A18" s="36" t="str">
        <x:f>'Full schedule'!A24</x:f>
        <x:v>R8</x:v>
      </x:c>
      <x:c r="B18" s="37" t="str">
        <x:f>'Full schedule'!B24</x:f>
        <x:v>Resubmit Concept Selection and Gantt chart</x:v>
      </x:c>
      <x:c r="C18" s="37" t="str">
        <x:f>'Full schedule'!C24</x:f>
        <x:v>All four</x:v>
      </x:c>
      <x:c r="D18" s="36" t="str">
        <x:f>IF('Full schedule'!G24="Review","Review dates",'Full schedule'!D24)</x:f>
        <x:v>Submitted</x:v>
      </x:c>
      <x:c r="E18" s="44" t="str">
        <x:f>IF('Full schedule'!E24="","",'Full schedule'!E24)</x:f>
      </x:c>
      <x:c r="F18" s="44" t="str">
        <x:f>IF('Full schedule'!F24="",IF(OR('Full schedule'!D24="Complete",'Full schedule'!D24="Submitted"),"n.a.","Unscheduled"),'Full schedule'!F24)</x:f>
        <x:v>n.a.</x:v>
      </x:c>
      <x:c r="G18" s="35" t="str">
        <x:f>IF(OR($E18="",$F18="Unscheduled"),"",IF($AA18="Either date",IF(OR(G$12=$E18,G$12=$F18),3,""),IF(AND(G$12&gt;=$E18,G$12&lt;=$F18),IF($AA18="Milestone",IF(AND(OR($D18="Complete",$D18="Submitted"),$F18&gt;Sources!$C$5),"T",2),IF(AND(OR($D18="Complete",$D18="Submitted"),G$12&gt;Sources!$C$5),4,1)),"")))</x:f>
      </x:c>
      <x:c r="H18" s="35" t="str">
        <x:f>IF(OR($E18="",$F18="Unscheduled"),"",IF($AA18="Either date",IF(OR(H$12=$E18,H$12=$F18),3,""),IF(AND(H$12&gt;=$E18,H$12&lt;=$F18),IF($AA18="Milestone",IF(AND(OR($D18="Complete",$D18="Submitted"),$F18&gt;Sources!$C$5),"T",2),IF(AND(OR($D18="Complete",$D18="Submitted"),H$12&gt;Sources!$C$5),4,1)),"")))</x:f>
      </x:c>
      <x:c r="I18" s="35" t="str">
        <x:f>IF(OR($E18="",$F18="Unscheduled"),"",IF($AA18="Either date",IF(OR(I$12=$E18,I$12=$F18),3,""),IF(AND(I$12&gt;=$E18,I$12&lt;=$F18),IF($AA18="Milestone",IF(AND(OR($D18="Complete",$D18="Submitted"),$F18&gt;Sources!$C$5),"T",2),IF(AND(OR($D18="Complete",$D18="Submitted"),I$12&gt;Sources!$C$5),4,1)),"")))</x:f>
      </x:c>
      <x:c r="J18" s="35" t="str">
        <x:f>IF(OR($E18="",$F18="Unscheduled"),"",IF($AA18="Either date",IF(OR(J$12=$E18,J$12=$F18),3,""),IF(AND(J$12&gt;=$E18,J$12&lt;=$F18),IF($AA18="Milestone",IF(AND(OR($D18="Complete",$D18="Submitted"),$F18&gt;Sources!$C$5),"T",2),IF(AND(OR($D18="Complete",$D18="Submitted"),J$12&gt;Sources!$C$5),4,1)),"")))</x:f>
      </x:c>
      <x:c r="K18" s="35" t="str">
        <x:f>IF(OR($E18="",$F18="Unscheduled"),"",IF($AA18="Either date",IF(OR(K$12=$E18,K$12=$F18),3,""),IF(AND(K$12&gt;=$E18,K$12&lt;=$F18),IF($AA18="Milestone",IF(AND(OR($D18="Complete",$D18="Submitted"),$F18&gt;Sources!$C$5),"T",2),IF(AND(OR($D18="Complete",$D18="Submitted"),K$12&gt;Sources!$C$5),4,1)),"")))</x:f>
      </x:c>
      <x:c r="L18" s="35" t="str">
        <x:f>IF(OR($E18="",$F18="Unscheduled"),"",IF($AA18="Either date",IF(OR(L$12=$E18,L$12=$F18),3,""),IF(AND(L$12&gt;=$E18,L$12&lt;=$F18),IF($AA18="Milestone",IF(AND(OR($D18="Complete",$D18="Submitted"),$F18&gt;Sources!$C$5),"T",2),IF(AND(OR($D18="Complete",$D18="Submitted"),L$12&gt;Sources!$C$5),4,1)),"")))</x:f>
      </x:c>
      <x:c r="M18" s="35" t="str">
        <x:f>IF(OR($E18="",$F18="Unscheduled"),"",IF($AA18="Either date",IF(OR(M$12=$E18,M$12=$F18),3,""),IF(AND(M$12&gt;=$E18,M$12&lt;=$F18),IF($AA18="Milestone",IF(AND(OR($D18="Complete",$D18="Submitted"),$F18&gt;Sources!$C$5),"T",2),IF(AND(OR($D18="Complete",$D18="Submitted"),M$12&gt;Sources!$C$5),4,1)),"")))</x:f>
      </x:c>
      <x:c r="N18" s="35" t="str">
        <x:f>IF(OR($E18="",$F18="Unscheduled"),"",IF($AA18="Either date",IF(OR(N$12=$E18,N$12=$F18),3,""),IF(AND(N$12&gt;=$E18,N$12&lt;=$F18),IF($AA18="Milestone",IF(AND(OR($D18="Complete",$D18="Submitted"),$F18&gt;Sources!$C$5),"T",2),IF(AND(OR($D18="Complete",$D18="Submitted"),N$12&gt;Sources!$C$5),4,1)),"")))</x:f>
      </x:c>
      <x:c r="O18" s="35" t="str">
        <x:f>IF(OR($E18="",$F18="Unscheduled"),"",IF($AA18="Either date",IF(OR(O$12=$E18,O$12=$F18),3,""),IF(AND(O$12&gt;=$E18,O$12&lt;=$F18),IF($AA18="Milestone",IF(AND(OR($D18="Complete",$D18="Submitted"),$F18&gt;Sources!$C$5),"T",2),IF(AND(OR($D18="Complete",$D18="Submitted"),O$12&gt;Sources!$C$5),4,1)),"")))</x:f>
      </x:c>
      <x:c r="P18" s="35" t="str">
        <x:f>IF(OR($E18="",$F18="Unscheduled"),"",IF($AA18="Either date",IF(OR(P$12=$E18,P$12=$F18),3,""),IF(AND(P$12&gt;=$E18,P$12&lt;=$F18),IF($AA18="Milestone",IF(AND(OR($D18="Complete",$D18="Submitted"),$F18&gt;Sources!$C$5),"T",2),IF(AND(OR($D18="Complete",$D18="Submitted"),P$12&gt;Sources!$C$5),4,1)),"")))</x:f>
      </x:c>
      <x:c r="Q18" s="35" t="str">
        <x:f>IF(OR($E18="",$F18="Unscheduled"),"",IF($AA18="Either date",IF(OR(Q$12=$E18,Q$12=$F18),3,""),IF(AND(Q$12&gt;=$E18,Q$12&lt;=$F18),IF($AA18="Milestone",IF(AND(OR($D18="Complete",$D18="Submitted"),$F18&gt;Sources!$C$5),"T",2),IF(AND(OR($D18="Complete",$D18="Submitted"),Q$12&gt;Sources!$C$5),4,1)),"")))</x:f>
      </x:c>
      <x:c r="R18" s="35" t="str">
        <x:f>IF(OR($E18="",$F18="Unscheduled"),"",IF($AA18="Either date",IF(OR(R$12=$E18,R$12=$F18),3,""),IF(AND(R$12&gt;=$E18,R$12&lt;=$F18),IF($AA18="Milestone",IF(AND(OR($D18="Complete",$D18="Submitted"),$F18&gt;Sources!$C$5),"T",2),IF(AND(OR($D18="Complete",$D18="Submitted"),R$12&gt;Sources!$C$5),4,1)),"")))</x:f>
      </x:c>
      <x:c r="S18" s="35" t="str">
        <x:f>IF(OR($E18="",$F18="Unscheduled"),"",IF($AA18="Either date",IF(OR(S$12=$E18,S$12=$F18),3,""),IF(AND(S$12&gt;=$E18,S$12&lt;=$F18),IF($AA18="Milestone",IF(AND(OR($D18="Complete",$D18="Submitted"),$F18&gt;Sources!$C$5),"T",2),IF(AND(OR($D18="Complete",$D18="Submitted"),S$12&gt;Sources!$C$5),4,1)),"")))</x:f>
      </x:c>
      <x:c r="T18" s="35" t="str">
        <x:f>IF(OR($E18="",$F18="Unscheduled"),"",IF($AA18="Either date",IF(OR(T$12=$E18,T$12=$F18),3,""),IF(AND(T$12&gt;=$E18,T$12&lt;=$F18),IF($AA18="Milestone",IF(AND(OR($D18="Complete",$D18="Submitted"),$F18&gt;Sources!$C$5),"T",2),IF(AND(OR($D18="Complete",$D18="Submitted"),T$12&gt;Sources!$C$5),4,1)),"")))</x:f>
      </x:c>
      <x:c r="U18" s="35" t="str">
        <x:f>IF(OR($E18="",$F18="Unscheduled"),"",IF($AA18="Either date",IF(OR(U$12=$E18,U$12=$F18),3,""),IF(AND(U$12&gt;=$E18,U$12&lt;=$F18),IF($AA18="Milestone",IF(AND(OR($D18="Complete",$D18="Submitted"),$F18&gt;Sources!$C$5),"T",2),IF(AND(OR($D18="Complete",$D18="Submitted"),U$12&gt;Sources!$C$5),4,1)),"")))</x:f>
      </x:c>
      <x:c r="V18" s="35" t="str">
        <x:f>IF(OR($E18="",$F18="Unscheduled"),"",IF($AA18="Either date",IF(OR(V$12=$E18,V$12=$F18),3,""),IF(AND(V$12&gt;=$E18,V$12&lt;=$F18),IF($AA18="Milestone",IF(AND(OR($D18="Complete",$D18="Submitted"),$F18&gt;Sources!$C$5),"T",2),IF(AND(OR($D18="Complete",$D18="Submitted"),V$12&gt;Sources!$C$5),4,1)),"")))</x:f>
      </x:c>
      <x:c r="W18" s="35" t="str">
        <x:f>IF(OR($E18="",$F18="Unscheduled"),"",IF($AA18="Either date",IF(OR(W$12=$E18,W$12=$F18),3,""),IF(AND(W$12&gt;=$E18,W$12&lt;=$F18),IF($AA18="Milestone",IF(AND(OR($D18="Complete",$D18="Submitted"),$F18&gt;Sources!$C$5),"T",2),IF(AND(OR($D18="Complete",$D18="Submitted"),W$12&gt;Sources!$C$5),4,1)),"")))</x:f>
      </x:c>
      <x:c r="X18" s="35" t="str">
        <x:f>IF(OR($E18="",$F18="Unscheduled"),"",IF($AA18="Either date",IF(OR(X$12=$E18,X$12=$F18),3,""),IF(AND(X$12&gt;=$E18,X$12&lt;=$F18),IF($AA18="Milestone",IF(AND(OR($D18="Complete",$D18="Submitted"),$F18&gt;Sources!$C$5),"T",2),IF(AND(OR($D18="Complete",$D18="Submitted"),X$12&gt;Sources!$C$5),4,1)),"")))</x:f>
      </x:c>
      <x:c r="Y18" s="35" t="str">
        <x:f>IF(OR($E18="",$F18="Unscheduled"),"",IF($AA18="Either date",IF(OR(Y$12=$E18,Y$12=$F18),3,""),IF(AND(Y$12&gt;=$E18,Y$12&lt;=$F18),IF($AA18="Milestone",IF(AND(OR($D18="Complete",$D18="Submitted"),$F18&gt;Sources!$C$5),"T",2),IF(AND(OR($D18="Complete",$D18="Submitted"),Y$12&gt;Sources!$C$5),4,1)),"")))</x:f>
      </x:c>
      <x:c r="Z18" s="2"/>
      <x:c r="AA18" s="2" t="str">
        <x:f>'Full schedule'!I24</x:f>
        <x:v>Window</x:v>
      </x:c>
    </x:row>
    <x:row r="19" ht="44" customHeight="1">
      <x:c r="A19" s="2" t="str">
        <x:f>'Full schedule'!A25</x:f>
        <x:v>R9</x:v>
      </x:c>
      <x:c r="B19" s="18" t="str">
        <x:f>'Full schedule'!B25</x:f>
        <x:v>Revise verification and validation plan</x:v>
      </x:c>
      <x:c r="C19" s="18" t="str">
        <x:f>'Full schedule'!C25</x:f>
        <x:v>Joe</x:v>
      </x:c>
      <x:c r="D19" s="2" t="str">
        <x:f>IF('Full schedule'!G25="Review","Review dates",'Full schedule'!D25)</x:f>
        <x:v>In progress</x:v>
      </x:c>
      <x:c r="E19" s="43" t="str">
        <x:f>IF('Full schedule'!E25="","",'Full schedule'!E25)</x:f>
      </x:c>
      <x:c r="F19" s="43" t="str">
        <x:f>IF('Full schedule'!F25="",IF(OR('Full schedule'!D25="Complete",'Full schedule'!D25="Submitted"),"n.a.","Unscheduled"),'Full schedule'!F25)</x:f>
        <x:v>Unscheduled</x:v>
      </x:c>
      <x:c r="G19" s="35" t="str">
        <x:f>IF(OR($E19="",$F19="Unscheduled"),"",IF($AA19="Either date",IF(OR(G$12=$E19,G$12=$F19),3,""),IF(AND(G$12&gt;=$E19,G$12&lt;=$F19),IF($AA19="Milestone",IF(AND(OR($D19="Complete",$D19="Submitted"),$F19&gt;Sources!$C$5),"T",2),IF(AND(OR($D19="Complete",$D19="Submitted"),G$12&gt;Sources!$C$5),4,1)),"")))</x:f>
      </x:c>
      <x:c r="H19" s="35" t="str">
        <x:f>IF(OR($E19="",$F19="Unscheduled"),"",IF($AA19="Either date",IF(OR(H$12=$E19,H$12=$F19),3,""),IF(AND(H$12&gt;=$E19,H$12&lt;=$F19),IF($AA19="Milestone",IF(AND(OR($D19="Complete",$D19="Submitted"),$F19&gt;Sources!$C$5),"T",2),IF(AND(OR($D19="Complete",$D19="Submitted"),H$12&gt;Sources!$C$5),4,1)),"")))</x:f>
      </x:c>
      <x:c r="I19" s="35" t="str">
        <x:f>IF(OR($E19="",$F19="Unscheduled"),"",IF($AA19="Either date",IF(OR(I$12=$E19,I$12=$F19),3,""),IF(AND(I$12&gt;=$E19,I$12&lt;=$F19),IF($AA19="Milestone",IF(AND(OR($D19="Complete",$D19="Submitted"),$F19&gt;Sources!$C$5),"T",2),IF(AND(OR($D19="Complete",$D19="Submitted"),I$12&gt;Sources!$C$5),4,1)),"")))</x:f>
      </x:c>
      <x:c r="J19" s="35" t="str">
        <x:f>IF(OR($E19="",$F19="Unscheduled"),"",IF($AA19="Either date",IF(OR(J$12=$E19,J$12=$F19),3,""),IF(AND(J$12&gt;=$E19,J$12&lt;=$F19),IF($AA19="Milestone",IF(AND(OR($D19="Complete",$D19="Submitted"),$F19&gt;Sources!$C$5),"T",2),IF(AND(OR($D19="Complete",$D19="Submitted"),J$12&gt;Sources!$C$5),4,1)),"")))</x:f>
      </x:c>
      <x:c r="K19" s="35" t="str">
        <x:f>IF(OR($E19="",$F19="Unscheduled"),"",IF($AA19="Either date",IF(OR(K$12=$E19,K$12=$F19),3,""),IF(AND(K$12&gt;=$E19,K$12&lt;=$F19),IF($AA19="Milestone",IF(AND(OR($D19="Complete",$D19="Submitted"),$F19&gt;Sources!$C$5),"T",2),IF(AND(OR($D19="Complete",$D19="Submitted"),K$12&gt;Sources!$C$5),4,1)),"")))</x:f>
      </x:c>
      <x:c r="L19" s="35" t="str">
        <x:f>IF(OR($E19="",$F19="Unscheduled"),"",IF($AA19="Either date",IF(OR(L$12=$E19,L$12=$F19),3,""),IF(AND(L$12&gt;=$E19,L$12&lt;=$F19),IF($AA19="Milestone",IF(AND(OR($D19="Complete",$D19="Submitted"),$F19&gt;Sources!$C$5),"T",2),IF(AND(OR($D19="Complete",$D19="Submitted"),L$12&gt;Sources!$C$5),4,1)),"")))</x:f>
      </x:c>
      <x:c r="M19" s="35" t="str">
        <x:f>IF(OR($E19="",$F19="Unscheduled"),"",IF($AA19="Either date",IF(OR(M$12=$E19,M$12=$F19),3,""),IF(AND(M$12&gt;=$E19,M$12&lt;=$F19),IF($AA19="Milestone",IF(AND(OR($D19="Complete",$D19="Submitted"),$F19&gt;Sources!$C$5),"T",2),IF(AND(OR($D19="Complete",$D19="Submitted"),M$12&gt;Sources!$C$5),4,1)),"")))</x:f>
      </x:c>
      <x:c r="N19" s="35" t="str">
        <x:f>IF(OR($E19="",$F19="Unscheduled"),"",IF($AA19="Either date",IF(OR(N$12=$E19,N$12=$F19),3,""),IF(AND(N$12&gt;=$E19,N$12&lt;=$F19),IF($AA19="Milestone",IF(AND(OR($D19="Complete",$D19="Submitted"),$F19&gt;Sources!$C$5),"T",2),IF(AND(OR($D19="Complete",$D19="Submitted"),N$12&gt;Sources!$C$5),4,1)),"")))</x:f>
      </x:c>
      <x:c r="O19" s="35" t="str">
        <x:f>IF(OR($E19="",$F19="Unscheduled"),"",IF($AA19="Either date",IF(OR(O$12=$E19,O$12=$F19),3,""),IF(AND(O$12&gt;=$E19,O$12&lt;=$F19),IF($AA19="Milestone",IF(AND(OR($D19="Complete",$D19="Submitted"),$F19&gt;Sources!$C$5),"T",2),IF(AND(OR($D19="Complete",$D19="Submitted"),O$12&gt;Sources!$C$5),4,1)),"")))</x:f>
      </x:c>
      <x:c r="P19" s="35" t="str">
        <x:f>IF(OR($E19="",$F19="Unscheduled"),"",IF($AA19="Either date",IF(OR(P$12=$E19,P$12=$F19),3,""),IF(AND(P$12&gt;=$E19,P$12&lt;=$F19),IF($AA19="Milestone",IF(AND(OR($D19="Complete",$D19="Submitted"),$F19&gt;Sources!$C$5),"T",2),IF(AND(OR($D19="Complete",$D19="Submitted"),P$12&gt;Sources!$C$5),4,1)),"")))</x:f>
      </x:c>
      <x:c r="Q19" s="35" t="str">
        <x:f>IF(OR($E19="",$F19="Unscheduled"),"",IF($AA19="Either date",IF(OR(Q$12=$E19,Q$12=$F19),3,""),IF(AND(Q$12&gt;=$E19,Q$12&lt;=$F19),IF($AA19="Milestone",IF(AND(OR($D19="Complete",$D19="Submitted"),$F19&gt;Sources!$C$5),"T",2),IF(AND(OR($D19="Complete",$D19="Submitted"),Q$12&gt;Sources!$C$5),4,1)),"")))</x:f>
      </x:c>
      <x:c r="R19" s="35" t="str">
        <x:f>IF(OR($E19="",$F19="Unscheduled"),"",IF($AA19="Either date",IF(OR(R$12=$E19,R$12=$F19),3,""),IF(AND(R$12&gt;=$E19,R$12&lt;=$F19),IF($AA19="Milestone",IF(AND(OR($D19="Complete",$D19="Submitted"),$F19&gt;Sources!$C$5),"T",2),IF(AND(OR($D19="Complete",$D19="Submitted"),R$12&gt;Sources!$C$5),4,1)),"")))</x:f>
      </x:c>
      <x:c r="S19" s="35" t="str">
        <x:f>IF(OR($E19="",$F19="Unscheduled"),"",IF($AA19="Either date",IF(OR(S$12=$E19,S$12=$F19),3,""),IF(AND(S$12&gt;=$E19,S$12&lt;=$F19),IF($AA19="Milestone",IF(AND(OR($D19="Complete",$D19="Submitted"),$F19&gt;Sources!$C$5),"T",2),IF(AND(OR($D19="Complete",$D19="Submitted"),S$12&gt;Sources!$C$5),4,1)),"")))</x:f>
      </x:c>
      <x:c r="T19" s="35" t="str">
        <x:f>IF(OR($E19="",$F19="Unscheduled"),"",IF($AA19="Either date",IF(OR(T$12=$E19,T$12=$F19),3,""),IF(AND(T$12&gt;=$E19,T$12&lt;=$F19),IF($AA19="Milestone",IF(AND(OR($D19="Complete",$D19="Submitted"),$F19&gt;Sources!$C$5),"T",2),IF(AND(OR($D19="Complete",$D19="Submitted"),T$12&gt;Sources!$C$5),4,1)),"")))</x:f>
      </x:c>
      <x:c r="U19" s="35" t="str">
        <x:f>IF(OR($E19="",$F19="Unscheduled"),"",IF($AA19="Either date",IF(OR(U$12=$E19,U$12=$F19),3,""),IF(AND(U$12&gt;=$E19,U$12&lt;=$F19),IF($AA19="Milestone",IF(AND(OR($D19="Complete",$D19="Submitted"),$F19&gt;Sources!$C$5),"T",2),IF(AND(OR($D19="Complete",$D19="Submitted"),U$12&gt;Sources!$C$5),4,1)),"")))</x:f>
      </x:c>
      <x:c r="V19" s="35" t="str">
        <x:f>IF(OR($E19="",$F19="Unscheduled"),"",IF($AA19="Either date",IF(OR(V$12=$E19,V$12=$F19),3,""),IF(AND(V$12&gt;=$E19,V$12&lt;=$F19),IF($AA19="Milestone",IF(AND(OR($D19="Complete",$D19="Submitted"),$F19&gt;Sources!$C$5),"T",2),IF(AND(OR($D19="Complete",$D19="Submitted"),V$12&gt;Sources!$C$5),4,1)),"")))</x:f>
      </x:c>
      <x:c r="W19" s="35" t="str">
        <x:f>IF(OR($E19="",$F19="Unscheduled"),"",IF($AA19="Either date",IF(OR(W$12=$E19,W$12=$F19),3,""),IF(AND(W$12&gt;=$E19,W$12&lt;=$F19),IF($AA19="Milestone",IF(AND(OR($D19="Complete",$D19="Submitted"),$F19&gt;Sources!$C$5),"T",2),IF(AND(OR($D19="Complete",$D19="Submitted"),W$12&gt;Sources!$C$5),4,1)),"")))</x:f>
      </x:c>
      <x:c r="X19" s="35" t="str">
        <x:f>IF(OR($E19="",$F19="Unscheduled"),"",IF($AA19="Either date",IF(OR(X$12=$E19,X$12=$F19),3,""),IF(AND(X$12&gt;=$E19,X$12&lt;=$F19),IF($AA19="Milestone",IF(AND(OR($D19="Complete",$D19="Submitted"),$F19&gt;Sources!$C$5),"T",2),IF(AND(OR($D19="Complete",$D19="Submitted"),X$12&gt;Sources!$C$5),4,1)),"")))</x:f>
      </x:c>
      <x:c r="Y19" s="35" t="str">
        <x:f>IF(OR($E19="",$F19="Unscheduled"),"",IF($AA19="Either date",IF(OR(Y$12=$E19,Y$12=$F19),3,""),IF(AND(Y$12&gt;=$E19,Y$12&lt;=$F19),IF($AA19="Milestone",IF(AND(OR($D19="Complete",$D19="Submitted"),$F19&gt;Sources!$C$5),"T",2),IF(AND(OR($D19="Complete",$D19="Submitted"),Y$12&gt;Sources!$C$5),4,1)),"")))</x:f>
      </x:c>
      <x:c r="Z19" s="2"/>
      <x:c r="AA19" s="2" t="str">
        <x:f>'Full schedule'!I25</x:f>
        <x:v>Window</x:v>
      </x:c>
    </x:row>
    <x:row r="20" ht="24" customHeight="1">
      <x:c r="A20" s="33" t="str">
        <x:v>Midterm and MVP</x:v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2"/>
      <x:c r="AA20" s="2"/>
    </x:row>
    <x:row r="21" ht="44" customHeight="1">
      <x:c r="A21" s="2" t="str">
        <x:f>'Full schedule'!A35</x:f>
        <x:v>P2</x:v>
      </x:c>
      <x:c r="B21" s="18" t="str">
        <x:f>'Full schedule'!B35</x:f>
        <x:v>Prepare midterm slides and individual speaking parts</x:v>
      </x:c>
      <x:c r="C21" s="18" t="str">
        <x:f>'Full schedule'!C35</x:f>
        <x:v>Ayan and Joseph</x:v>
      </x:c>
      <x:c r="D21" s="2" t="str">
        <x:f>IF('Full schedule'!G35="Review","Review dates",'Full schedule'!D35)</x:f>
        <x:v>In progress</x:v>
      </x:c>
      <x:c r="E21" s="43" t="n">
        <x:f>IF('Full schedule'!E35="","",'Full schedule'!E35)</x:f>
        <x:v>46311</x:v>
      </x:c>
      <x:c r="F21" s="43" t="n">
        <x:f>IF('Full schedule'!F35="",IF(OR('Full schedule'!D35="Complete",'Full schedule'!D35="Submitted"),"n.a.","Unscheduled"),'Full schedule'!F35)</x:f>
        <x:v>46321</x:v>
      </x:c>
      <x:c r="G21" s="35" t="n">
        <x:f>IF(OR($E21="",$F21="Unscheduled"),"",IF($AA21="Either date",IF(OR(G$12=$E21,G$12=$F21),3,""),IF(AND(G$12&gt;=$E21,G$12&lt;=$F21),IF($AA21="Milestone",IF(AND(OR($D21="Complete",$D21="Submitted"),$F21&gt;Sources!$C$5),"T",2),IF(AND(OR($D21="Complete",$D21="Submitted"),G$12&gt;Sources!$C$5),4,1)),"")))</x:f>
        <x:v>1</x:v>
      </x:c>
      <x:c r="H21" s="35" t="n">
        <x:f>IF(OR($E21="",$F21="Unscheduled"),"",IF($AA21="Either date",IF(OR(H$12=$E21,H$12=$F21),3,""),IF(AND(H$12&gt;=$E21,H$12&lt;=$F21),IF($AA21="Milestone",IF(AND(OR($D21="Complete",$D21="Submitted"),$F21&gt;Sources!$C$5),"T",2),IF(AND(OR($D21="Complete",$D21="Submitted"),H$12&gt;Sources!$C$5),4,1)),"")))</x:f>
        <x:v>1</x:v>
      </x:c>
      <x:c r="I21" s="35" t="n">
        <x:f>IF(OR($E21="",$F21="Unscheduled"),"",IF($AA21="Either date",IF(OR(I$12=$E21,I$12=$F21),3,""),IF(AND(I$12&gt;=$E21,I$12&lt;=$F21),IF($AA21="Milestone",IF(AND(OR($D21="Complete",$D21="Submitted"),$F21&gt;Sources!$C$5),"T",2),IF(AND(OR($D21="Complete",$D21="Submitted"),I$12&gt;Sources!$C$5),4,1)),"")))</x:f>
        <x:v>1</x:v>
      </x:c>
      <x:c r="J21" s="35" t="n">
        <x:f>IF(OR($E21="",$F21="Unscheduled"),"",IF($AA21="Either date",IF(OR(J$12=$E21,J$12=$F21),3,""),IF(AND(J$12&gt;=$E21,J$12&lt;=$F21),IF($AA21="Milestone",IF(AND(OR($D21="Complete",$D21="Submitted"),$F21&gt;Sources!$C$5),"T",2),IF(AND(OR($D21="Complete",$D21="Submitted"),J$12&gt;Sources!$C$5),4,1)),"")))</x:f>
        <x:v>1</x:v>
      </x:c>
      <x:c r="K21" s="35" t="n">
        <x:f>IF(OR($E21="",$F21="Unscheduled"),"",IF($AA21="Either date",IF(OR(K$12=$E21,K$12=$F21),3,""),IF(AND(K$12&gt;=$E21,K$12&lt;=$F21),IF($AA21="Milestone",IF(AND(OR($D21="Complete",$D21="Submitted"),$F21&gt;Sources!$C$5),"T",2),IF(AND(OR($D21="Complete",$D21="Submitted"),K$12&gt;Sources!$C$5),4,1)),"")))</x:f>
        <x:v>1</x:v>
      </x:c>
      <x:c r="L21" s="35" t="n">
        <x:f>IF(OR($E21="",$F21="Unscheduled"),"",IF($AA21="Either date",IF(OR(L$12=$E21,L$12=$F21),3,""),IF(AND(L$12&gt;=$E21,L$12&lt;=$F21),IF($AA21="Milestone",IF(AND(OR($D21="Complete",$D21="Submitted"),$F21&gt;Sources!$C$5),"T",2),IF(AND(OR($D21="Complete",$D21="Submitted"),L$12&gt;Sources!$C$5),4,1)),"")))</x:f>
        <x:v>1</x:v>
      </x:c>
      <x:c r="M21" s="35" t="n">
        <x:f>IF(OR($E21="",$F21="Unscheduled"),"",IF($AA21="Either date",IF(OR(M$12=$E21,M$12=$F21),3,""),IF(AND(M$12&gt;=$E21,M$12&lt;=$F21),IF($AA21="Milestone",IF(AND(OR($D21="Complete",$D21="Submitted"),$F21&gt;Sources!$C$5),"T",2),IF(AND(OR($D21="Complete",$D21="Submitted"),M$12&gt;Sources!$C$5),4,1)),"")))</x:f>
        <x:v>1</x:v>
      </x:c>
      <x:c r="N21" s="35" t="n">
        <x:f>IF(OR($E21="",$F21="Unscheduled"),"",IF($AA21="Either date",IF(OR(N$12=$E21,N$12=$F21),3,""),IF(AND(N$12&gt;=$E21,N$12&lt;=$F21),IF($AA21="Milestone",IF(AND(OR($D21="Complete",$D21="Submitted"),$F21&gt;Sources!$C$5),"T",2),IF(AND(OR($D21="Complete",$D21="Submitted"),N$12&gt;Sources!$C$5),4,1)),"")))</x:f>
        <x:v>1</x:v>
      </x:c>
      <x:c r="O21" s="35" t="str">
        <x:f>IF(OR($E21="",$F21="Unscheduled"),"",IF($AA21="Either date",IF(OR(O$12=$E21,O$12=$F21),3,""),IF(AND(O$12&gt;=$E21,O$12&lt;=$F21),IF($AA21="Milestone",IF(AND(OR($D21="Complete",$D21="Submitted"),$F21&gt;Sources!$C$5),"T",2),IF(AND(OR($D21="Complete",$D21="Submitted"),O$12&gt;Sources!$C$5),4,1)),"")))</x:f>
      </x:c>
      <x:c r="P21" s="35" t="str">
        <x:f>IF(OR($E21="",$F21="Unscheduled"),"",IF($AA21="Either date",IF(OR(P$12=$E21,P$12=$F21),3,""),IF(AND(P$12&gt;=$E21,P$12&lt;=$F21),IF($AA21="Milestone",IF(AND(OR($D21="Complete",$D21="Submitted"),$F21&gt;Sources!$C$5),"T",2),IF(AND(OR($D21="Complete",$D21="Submitted"),P$12&gt;Sources!$C$5),4,1)),"")))</x:f>
      </x:c>
      <x:c r="Q21" s="35" t="str">
        <x:f>IF(OR($E21="",$F21="Unscheduled"),"",IF($AA21="Either date",IF(OR(Q$12=$E21,Q$12=$F21),3,""),IF(AND(Q$12&gt;=$E21,Q$12&lt;=$F21),IF($AA21="Milestone",IF(AND(OR($D21="Complete",$D21="Submitted"),$F21&gt;Sources!$C$5),"T",2),IF(AND(OR($D21="Complete",$D21="Submitted"),Q$12&gt;Sources!$C$5),4,1)),"")))</x:f>
      </x:c>
      <x:c r="R21" s="35" t="str">
        <x:f>IF(OR($E21="",$F21="Unscheduled"),"",IF($AA21="Either date",IF(OR(R$12=$E21,R$12=$F21),3,""),IF(AND(R$12&gt;=$E21,R$12&lt;=$F21),IF($AA21="Milestone",IF(AND(OR($D21="Complete",$D21="Submitted"),$F21&gt;Sources!$C$5),"T",2),IF(AND(OR($D21="Complete",$D21="Submitted"),R$12&gt;Sources!$C$5),4,1)),"")))</x:f>
      </x:c>
      <x:c r="S21" s="35" t="str">
        <x:f>IF(OR($E21="",$F21="Unscheduled"),"",IF($AA21="Either date",IF(OR(S$12=$E21,S$12=$F21),3,""),IF(AND(S$12&gt;=$E21,S$12&lt;=$F21),IF($AA21="Milestone",IF(AND(OR($D21="Complete",$D21="Submitted"),$F21&gt;Sources!$C$5),"T",2),IF(AND(OR($D21="Complete",$D21="Submitted"),S$12&gt;Sources!$C$5),4,1)),"")))</x:f>
      </x:c>
      <x:c r="T21" s="35" t="str">
        <x:f>IF(OR($E21="",$F21="Unscheduled"),"",IF($AA21="Either date",IF(OR(T$12=$E21,T$12=$F21),3,""),IF(AND(T$12&gt;=$E21,T$12&lt;=$F21),IF($AA21="Milestone",IF(AND(OR($D21="Complete",$D21="Submitted"),$F21&gt;Sources!$C$5),"T",2),IF(AND(OR($D21="Complete",$D21="Submitted"),T$12&gt;Sources!$C$5),4,1)),"")))</x:f>
      </x:c>
      <x:c r="U21" s="35" t="str">
        <x:f>IF(OR($E21="",$F21="Unscheduled"),"",IF($AA21="Either date",IF(OR(U$12=$E21,U$12=$F21),3,""),IF(AND(U$12&gt;=$E21,U$12&lt;=$F21),IF($AA21="Milestone",IF(AND(OR($D21="Complete",$D21="Submitted"),$F21&gt;Sources!$C$5),"T",2),IF(AND(OR($D21="Complete",$D21="Submitted"),U$12&gt;Sources!$C$5),4,1)),"")))</x:f>
      </x:c>
      <x:c r="V21" s="35" t="str">
        <x:f>IF(OR($E21="",$F21="Unscheduled"),"",IF($AA21="Either date",IF(OR(V$12=$E21,V$12=$F21),3,""),IF(AND(V$12&gt;=$E21,V$12&lt;=$F21),IF($AA21="Milestone",IF(AND(OR($D21="Complete",$D21="Submitted"),$F21&gt;Sources!$C$5),"T",2),IF(AND(OR($D21="Complete",$D21="Submitted"),V$12&gt;Sources!$C$5),4,1)),"")))</x:f>
      </x:c>
      <x:c r="W21" s="35" t="str">
        <x:f>IF(OR($E21="",$F21="Unscheduled"),"",IF($AA21="Either date",IF(OR(W$12=$E21,W$12=$F21),3,""),IF(AND(W$12&gt;=$E21,W$12&lt;=$F21),IF($AA21="Milestone",IF(AND(OR($D21="Complete",$D21="Submitted"),$F21&gt;Sources!$C$5),"T",2),IF(AND(OR($D21="Complete",$D21="Submitted"),W$12&gt;Sources!$C$5),4,1)),"")))</x:f>
      </x:c>
      <x:c r="X21" s="35" t="str">
        <x:f>IF(OR($E21="",$F21="Unscheduled"),"",IF($AA21="Either date",IF(OR(X$12=$E21,X$12=$F21),3,""),IF(AND(X$12&gt;=$E21,X$12&lt;=$F21),IF($AA21="Milestone",IF(AND(OR($D21="Complete",$D21="Submitted"),$F21&gt;Sources!$C$5),"T",2),IF(AND(OR($D21="Complete",$D21="Submitted"),X$12&gt;Sources!$C$5),4,1)),"")))</x:f>
      </x:c>
      <x:c r="Y21" s="35" t="str">
        <x:f>IF(OR($E21="",$F21="Unscheduled"),"",IF($AA21="Either date",IF(OR(Y$12=$E21,Y$12=$F21),3,""),IF(AND(Y$12&gt;=$E21,Y$12&lt;=$F21),IF($AA21="Milestone",IF(AND(OR($D21="Complete",$D21="Submitted"),$F21&gt;Sources!$C$5),"T",2),IF(AND(OR($D21="Complete",$D21="Submitted"),Y$12&gt;Sources!$C$5),4,1)),"")))</x:f>
      </x:c>
      <x:c r="Z21" s="2"/>
      <x:c r="AA21" s="2" t="str">
        <x:f>'Full schedule'!I35</x:f>
        <x:v>Window</x:v>
      </x:c>
    </x:row>
    <x:row r="22" ht="44" customHeight="1">
      <x:c r="A22" s="36" t="str">
        <x:f>'Full schedule'!A36</x:f>
        <x:v>P3</x:v>
      </x:c>
      <x:c r="B22" s="37" t="str">
        <x:f>'Full schedule'!B36</x:f>
        <x:v>Prepare prototype evidence and rehearse the midterm</x:v>
      </x:c>
      <x:c r="C22" s="37" t="str">
        <x:f>'Full schedule'!C36</x:f>
        <x:v>All four</x:v>
      </x:c>
      <x:c r="D22" s="36" t="str">
        <x:f>IF('Full schedule'!G36="Review","Review dates",'Full schedule'!D36)</x:f>
        <x:v>Rehearsed</x:v>
      </x:c>
      <x:c r="E22" s="44" t="n">
        <x:f>IF('Full schedule'!E36="","",'Full schedule'!E36)</x:f>
        <x:v>46314</x:v>
      </x:c>
      <x:c r="F22" s="44" t="n">
        <x:f>IF('Full schedule'!F36="",IF(OR('Full schedule'!D36="Complete",'Full schedule'!D36="Submitted"),"n.a.","Unscheduled"),'Full schedule'!F36)</x:f>
        <x:v>46321</x:v>
      </x:c>
      <x:c r="G22" s="35" t="n">
        <x:f>IF(OR($E22="",$F22="Unscheduled"),"",IF($AA22="Either date",IF(OR(G$12=$E22,G$12=$F22),3,""),IF(AND(G$12&gt;=$E22,G$12&lt;=$F22),IF($AA22="Milestone",IF(AND(OR($D22="Complete",$D22="Submitted"),$F22&gt;Sources!$C$5),"T",2),IF(AND(OR($D22="Complete",$D22="Submitted"),G$12&gt;Sources!$C$5),4,1)),"")))</x:f>
        <x:v>1</x:v>
      </x:c>
      <x:c r="H22" s="35" t="n">
        <x:f>IF(OR($E22="",$F22="Unscheduled"),"",IF($AA22="Either date",IF(OR(H$12=$E22,H$12=$F22),3,""),IF(AND(H$12&gt;=$E22,H$12&lt;=$F22),IF($AA22="Milestone",IF(AND(OR($D22="Complete",$D22="Submitted"),$F22&gt;Sources!$C$5),"T",2),IF(AND(OR($D22="Complete",$D22="Submitted"),H$12&gt;Sources!$C$5),4,1)),"")))</x:f>
        <x:v>1</x:v>
      </x:c>
      <x:c r="I22" s="35" t="n">
        <x:f>IF(OR($E22="",$F22="Unscheduled"),"",IF($AA22="Either date",IF(OR(I$12=$E22,I$12=$F22),3,""),IF(AND(I$12&gt;=$E22,I$12&lt;=$F22),IF($AA22="Milestone",IF(AND(OR($D22="Complete",$D22="Submitted"),$F22&gt;Sources!$C$5),"T",2),IF(AND(OR($D22="Complete",$D22="Submitted"),I$12&gt;Sources!$C$5),4,1)),"")))</x:f>
        <x:v>1</x:v>
      </x:c>
      <x:c r="J22" s="35" t="n">
        <x:f>IF(OR($E22="",$F22="Unscheduled"),"",IF($AA22="Either date",IF(OR(J$12=$E22,J$12=$F22),3,""),IF(AND(J$12&gt;=$E22,J$12&lt;=$F22),IF($AA22="Milestone",IF(AND(OR($D22="Complete",$D22="Submitted"),$F22&gt;Sources!$C$5),"T",2),IF(AND(OR($D22="Complete",$D22="Submitted"),J$12&gt;Sources!$C$5),4,1)),"")))</x:f>
        <x:v>1</x:v>
      </x:c>
      <x:c r="K22" s="35" t="n">
        <x:f>IF(OR($E22="",$F22="Unscheduled"),"",IF($AA22="Either date",IF(OR(K$12=$E22,K$12=$F22),3,""),IF(AND(K$12&gt;=$E22,K$12&lt;=$F22),IF($AA22="Milestone",IF(AND(OR($D22="Complete",$D22="Submitted"),$F22&gt;Sources!$C$5),"T",2),IF(AND(OR($D22="Complete",$D22="Submitted"),K$12&gt;Sources!$C$5),4,1)),"")))</x:f>
        <x:v>1</x:v>
      </x:c>
      <x:c r="L22" s="35" t="n">
        <x:f>IF(OR($E22="",$F22="Unscheduled"),"",IF($AA22="Either date",IF(OR(L$12=$E22,L$12=$F22),3,""),IF(AND(L$12&gt;=$E22,L$12&lt;=$F22),IF($AA22="Milestone",IF(AND(OR($D22="Complete",$D22="Submitted"),$F22&gt;Sources!$C$5),"T",2),IF(AND(OR($D22="Complete",$D22="Submitted"),L$12&gt;Sources!$C$5),4,1)),"")))</x:f>
        <x:v>1</x:v>
      </x:c>
      <x:c r="M22" s="35" t="n">
        <x:f>IF(OR($E22="",$F22="Unscheduled"),"",IF($AA22="Either date",IF(OR(M$12=$E22,M$12=$F22),3,""),IF(AND(M$12&gt;=$E22,M$12&lt;=$F22),IF($AA22="Milestone",IF(AND(OR($D22="Complete",$D22="Submitted"),$F22&gt;Sources!$C$5),"T",2),IF(AND(OR($D22="Complete",$D22="Submitted"),M$12&gt;Sources!$C$5),4,1)),"")))</x:f>
        <x:v>1</x:v>
      </x:c>
      <x:c r="N22" s="35" t="n">
        <x:f>IF(OR($E22="",$F22="Unscheduled"),"",IF($AA22="Either date",IF(OR(N$12=$E22,N$12=$F22),3,""),IF(AND(N$12&gt;=$E22,N$12&lt;=$F22),IF($AA22="Milestone",IF(AND(OR($D22="Complete",$D22="Submitted"),$F22&gt;Sources!$C$5),"T",2),IF(AND(OR($D22="Complete",$D22="Submitted"),N$12&gt;Sources!$C$5),4,1)),"")))</x:f>
        <x:v>1</x:v>
      </x:c>
      <x:c r="O22" s="35" t="str">
        <x:f>IF(OR($E22="",$F22="Unscheduled"),"",IF($AA22="Either date",IF(OR(O$12=$E22,O$12=$F22),3,""),IF(AND(O$12&gt;=$E22,O$12&lt;=$F22),IF($AA22="Milestone",IF(AND(OR($D22="Complete",$D22="Submitted"),$F22&gt;Sources!$C$5),"T",2),IF(AND(OR($D22="Complete",$D22="Submitted"),O$12&gt;Sources!$C$5),4,1)),"")))</x:f>
      </x:c>
      <x:c r="P22" s="35" t="str">
        <x:f>IF(OR($E22="",$F22="Unscheduled"),"",IF($AA22="Either date",IF(OR(P$12=$E22,P$12=$F22),3,""),IF(AND(P$12&gt;=$E22,P$12&lt;=$F22),IF($AA22="Milestone",IF(AND(OR($D22="Complete",$D22="Submitted"),$F22&gt;Sources!$C$5),"T",2),IF(AND(OR($D22="Complete",$D22="Submitted"),P$12&gt;Sources!$C$5),4,1)),"")))</x:f>
      </x:c>
      <x:c r="Q22" s="35" t="str">
        <x:f>IF(OR($E22="",$F22="Unscheduled"),"",IF($AA22="Either date",IF(OR(Q$12=$E22,Q$12=$F22),3,""),IF(AND(Q$12&gt;=$E22,Q$12&lt;=$F22),IF($AA22="Milestone",IF(AND(OR($D22="Complete",$D22="Submitted"),$F22&gt;Sources!$C$5),"T",2),IF(AND(OR($D22="Complete",$D22="Submitted"),Q$12&gt;Sources!$C$5),4,1)),"")))</x:f>
      </x:c>
      <x:c r="R22" s="35" t="str">
        <x:f>IF(OR($E22="",$F22="Unscheduled"),"",IF($AA22="Either date",IF(OR(R$12=$E22,R$12=$F22),3,""),IF(AND(R$12&gt;=$E22,R$12&lt;=$F22),IF($AA22="Milestone",IF(AND(OR($D22="Complete",$D22="Submitted"),$F22&gt;Sources!$C$5),"T",2),IF(AND(OR($D22="Complete",$D22="Submitted"),R$12&gt;Sources!$C$5),4,1)),"")))</x:f>
      </x:c>
      <x:c r="S22" s="35" t="str">
        <x:f>IF(OR($E22="",$F22="Unscheduled"),"",IF($AA22="Either date",IF(OR(S$12=$E22,S$12=$F22),3,""),IF(AND(S$12&gt;=$E22,S$12&lt;=$F22),IF($AA22="Milestone",IF(AND(OR($D22="Complete",$D22="Submitted"),$F22&gt;Sources!$C$5),"T",2),IF(AND(OR($D22="Complete",$D22="Submitted"),S$12&gt;Sources!$C$5),4,1)),"")))</x:f>
      </x:c>
      <x:c r="T22" s="35" t="str">
        <x:f>IF(OR($E22="",$F22="Unscheduled"),"",IF($AA22="Either date",IF(OR(T$12=$E22,T$12=$F22),3,""),IF(AND(T$12&gt;=$E22,T$12&lt;=$F22),IF($AA22="Milestone",IF(AND(OR($D22="Complete",$D22="Submitted"),$F22&gt;Sources!$C$5),"T",2),IF(AND(OR($D22="Complete",$D22="Submitted"),T$12&gt;Sources!$C$5),4,1)),"")))</x:f>
      </x:c>
      <x:c r="U22" s="35" t="str">
        <x:f>IF(OR($E22="",$F22="Unscheduled"),"",IF($AA22="Either date",IF(OR(U$12=$E22,U$12=$F22),3,""),IF(AND(U$12&gt;=$E22,U$12&lt;=$F22),IF($AA22="Milestone",IF(AND(OR($D22="Complete",$D22="Submitted"),$F22&gt;Sources!$C$5),"T",2),IF(AND(OR($D22="Complete",$D22="Submitted"),U$12&gt;Sources!$C$5),4,1)),"")))</x:f>
      </x:c>
      <x:c r="V22" s="35" t="str">
        <x:f>IF(OR($E22="",$F22="Unscheduled"),"",IF($AA22="Either date",IF(OR(V$12=$E22,V$12=$F22),3,""),IF(AND(V$12&gt;=$E22,V$12&lt;=$F22),IF($AA22="Milestone",IF(AND(OR($D22="Complete",$D22="Submitted"),$F22&gt;Sources!$C$5),"T",2),IF(AND(OR($D22="Complete",$D22="Submitted"),V$12&gt;Sources!$C$5),4,1)),"")))</x:f>
      </x:c>
      <x:c r="W22" s="35" t="str">
        <x:f>IF(OR($E22="",$F22="Unscheduled"),"",IF($AA22="Either date",IF(OR(W$12=$E22,W$12=$F22),3,""),IF(AND(W$12&gt;=$E22,W$12&lt;=$F22),IF($AA22="Milestone",IF(AND(OR($D22="Complete",$D22="Submitted"),$F22&gt;Sources!$C$5),"T",2),IF(AND(OR($D22="Complete",$D22="Submitted"),W$12&gt;Sources!$C$5),4,1)),"")))</x:f>
      </x:c>
      <x:c r="X22" s="35" t="str">
        <x:f>IF(OR($E22="",$F22="Unscheduled"),"",IF($AA22="Either date",IF(OR(X$12=$E22,X$12=$F22),3,""),IF(AND(X$12&gt;=$E22,X$12&lt;=$F22),IF($AA22="Milestone",IF(AND(OR($D22="Complete",$D22="Submitted"),$F22&gt;Sources!$C$5),"T",2),IF(AND(OR($D22="Complete",$D22="Submitted"),X$12&gt;Sources!$C$5),4,1)),"")))</x:f>
      </x:c>
      <x:c r="Y22" s="35" t="str">
        <x:f>IF(OR($E22="",$F22="Unscheduled"),"",IF($AA22="Either date",IF(OR(Y$12=$E22,Y$12=$F22),3,""),IF(AND(Y$12&gt;=$E22,Y$12&lt;=$F22),IF($AA22="Milestone",IF(AND(OR($D22="Complete",$D22="Submitted"),$F22&gt;Sources!$C$5),"T",2),IF(AND(OR($D22="Complete",$D22="Submitted"),Y$12&gt;Sources!$C$5),4,1)),"")))</x:f>
      </x:c>
      <x:c r="Z22" s="2"/>
      <x:c r="AA22" s="2" t="str">
        <x:f>'Full schedule'!I36</x:f>
        <x:v>Window</x:v>
      </x:c>
    </x:row>
    <x:row r="23" ht="44" customHeight="1">
      <x:c r="A23" s="2" t="str">
        <x:f>'Full schedule'!A88</x:f>
        <x:v>C31</x:v>
      </x:c>
      <x:c r="B23" s="18" t="str">
        <x:f>'Full schedule'!B88</x:f>
        <x:v>Midterm slides submission</x:v>
      </x:c>
      <x:c r="C23" s="18" t="str">
        <x:f>'Full schedule'!C88</x:f>
        <x:v>All four</x:v>
      </x:c>
      <x:c r="D23" s="2" t="str">
        <x:f>IF('Full schedule'!G88="Review","Review dates",'Full schedule'!D88)</x:f>
        <x:v>Planned</x:v>
      </x:c>
      <x:c r="E23" s="43" t="n">
        <x:f>IF('Full schedule'!E88="","",'Full schedule'!E88)</x:f>
        <x:v>46321</x:v>
      </x:c>
      <x:c r="F23" s="43" t="n">
        <x:f>IF('Full schedule'!F88="",IF(OR('Full schedule'!D88="Complete",'Full schedule'!D88="Submitted"),"n.a.","Unscheduled"),'Full schedule'!F88)</x:f>
        <x:v>46321</x:v>
      </x:c>
      <x:c r="G23" s="35" t="str">
        <x:f>IF(OR($E23="",$F23="Unscheduled"),"",IF($AA23="Either date",IF(OR(G$12=$E23,G$12=$F23),3,""),IF(AND(G$12&gt;=$E23,G$12&lt;=$F23),IF($AA23="Milestone",IF(AND(OR($D23="Complete",$D23="Submitted"),$F23&gt;Sources!$C$5),"T",2),IF(AND(OR($D23="Complete",$D23="Submitted"),G$12&gt;Sources!$C$5),4,1)),"")))</x:f>
      </x:c>
      <x:c r="H23" s="35" t="str">
        <x:f>IF(OR($E23="",$F23="Unscheduled"),"",IF($AA23="Either date",IF(OR(H$12=$E23,H$12=$F23),3,""),IF(AND(H$12&gt;=$E23,H$12&lt;=$F23),IF($AA23="Milestone",IF(AND(OR($D23="Complete",$D23="Submitted"),$F23&gt;Sources!$C$5),"T",2),IF(AND(OR($D23="Complete",$D23="Submitted"),H$12&gt;Sources!$C$5),4,1)),"")))</x:f>
      </x:c>
      <x:c r="I23" s="35" t="str">
        <x:f>IF(OR($E23="",$F23="Unscheduled"),"",IF($AA23="Either date",IF(OR(I$12=$E23,I$12=$F23),3,""),IF(AND(I$12&gt;=$E23,I$12&lt;=$F23),IF($AA23="Milestone",IF(AND(OR($D23="Complete",$D23="Submitted"),$F23&gt;Sources!$C$5),"T",2),IF(AND(OR($D23="Complete",$D23="Submitted"),I$12&gt;Sources!$C$5),4,1)),"")))</x:f>
      </x:c>
      <x:c r="J23" s="35" t="str">
        <x:f>IF(OR($E23="",$F23="Unscheduled"),"",IF($AA23="Either date",IF(OR(J$12=$E23,J$12=$F23),3,""),IF(AND(J$12&gt;=$E23,J$12&lt;=$F23),IF($AA23="Milestone",IF(AND(OR($D23="Complete",$D23="Submitted"),$F23&gt;Sources!$C$5),"T",2),IF(AND(OR($D23="Complete",$D23="Submitted"),J$12&gt;Sources!$C$5),4,1)),"")))</x:f>
      </x:c>
      <x:c r="K23" s="35" t="str">
        <x:f>IF(OR($E23="",$F23="Unscheduled"),"",IF($AA23="Either date",IF(OR(K$12=$E23,K$12=$F23),3,""),IF(AND(K$12&gt;=$E23,K$12&lt;=$F23),IF($AA23="Milestone",IF(AND(OR($D23="Complete",$D23="Submitted"),$F23&gt;Sources!$C$5),"T",2),IF(AND(OR($D23="Complete",$D23="Submitted"),K$12&gt;Sources!$C$5),4,1)),"")))</x:f>
      </x:c>
      <x:c r="L23" s="35" t="str">
        <x:f>IF(OR($E23="",$F23="Unscheduled"),"",IF($AA23="Either date",IF(OR(L$12=$E23,L$12=$F23),3,""),IF(AND(L$12&gt;=$E23,L$12&lt;=$F23),IF($AA23="Milestone",IF(AND(OR($D23="Complete",$D23="Submitted"),$F23&gt;Sources!$C$5),"T",2),IF(AND(OR($D23="Complete",$D23="Submitted"),L$12&gt;Sources!$C$5),4,1)),"")))</x:f>
      </x:c>
      <x:c r="M23" s="35" t="str">
        <x:f>IF(OR($E23="",$F23="Unscheduled"),"",IF($AA23="Either date",IF(OR(M$12=$E23,M$12=$F23),3,""),IF(AND(M$12&gt;=$E23,M$12&lt;=$F23),IF($AA23="Milestone",IF(AND(OR($D23="Complete",$D23="Submitted"),$F23&gt;Sources!$C$5),"T",2),IF(AND(OR($D23="Complete",$D23="Submitted"),M$12&gt;Sources!$C$5),4,1)),"")))</x:f>
      </x:c>
      <x:c r="N23" s="35" t="n">
        <x:f>IF(OR($E23="",$F23="Unscheduled"),"",IF($AA23="Either date",IF(OR(N$12=$E23,N$12=$F23),3,""),IF(AND(N$12&gt;=$E23,N$12&lt;=$F23),IF($AA23="Milestone",IF(AND(OR($D23="Complete",$D23="Submitted"),$F23&gt;Sources!$C$5),"T",2),IF(AND(OR($D23="Complete",$D23="Submitted"),N$12&gt;Sources!$C$5),4,1)),"")))</x:f>
        <x:v>2</x:v>
      </x:c>
      <x:c r="O23" s="35" t="str">
        <x:f>IF(OR($E23="",$F23="Unscheduled"),"",IF($AA23="Either date",IF(OR(O$12=$E23,O$12=$F23),3,""),IF(AND(O$12&gt;=$E23,O$12&lt;=$F23),IF($AA23="Milestone",IF(AND(OR($D23="Complete",$D23="Submitted"),$F23&gt;Sources!$C$5),"T",2),IF(AND(OR($D23="Complete",$D23="Submitted"),O$12&gt;Sources!$C$5),4,1)),"")))</x:f>
      </x:c>
      <x:c r="P23" s="35" t="str">
        <x:f>IF(OR($E23="",$F23="Unscheduled"),"",IF($AA23="Either date",IF(OR(P$12=$E23,P$12=$F23),3,""),IF(AND(P$12&gt;=$E23,P$12&lt;=$F23),IF($AA23="Milestone",IF(AND(OR($D23="Complete",$D23="Submitted"),$F23&gt;Sources!$C$5),"T",2),IF(AND(OR($D23="Complete",$D23="Submitted"),P$12&gt;Sources!$C$5),4,1)),"")))</x:f>
      </x:c>
      <x:c r="Q23" s="35" t="str">
        <x:f>IF(OR($E23="",$F23="Unscheduled"),"",IF($AA23="Either date",IF(OR(Q$12=$E23,Q$12=$F23),3,""),IF(AND(Q$12&gt;=$E23,Q$12&lt;=$F23),IF($AA23="Milestone",IF(AND(OR($D23="Complete",$D23="Submitted"),$F23&gt;Sources!$C$5),"T",2),IF(AND(OR($D23="Complete",$D23="Submitted"),Q$12&gt;Sources!$C$5),4,1)),"")))</x:f>
      </x:c>
      <x:c r="R23" s="35" t="str">
        <x:f>IF(OR($E23="",$F23="Unscheduled"),"",IF($AA23="Either date",IF(OR(R$12=$E23,R$12=$F23),3,""),IF(AND(R$12&gt;=$E23,R$12&lt;=$F23),IF($AA23="Milestone",IF(AND(OR($D23="Complete",$D23="Submitted"),$F23&gt;Sources!$C$5),"T",2),IF(AND(OR($D23="Complete",$D23="Submitted"),R$12&gt;Sources!$C$5),4,1)),"")))</x:f>
      </x:c>
      <x:c r="S23" s="35" t="str">
        <x:f>IF(OR($E23="",$F23="Unscheduled"),"",IF($AA23="Either date",IF(OR(S$12=$E23,S$12=$F23),3,""),IF(AND(S$12&gt;=$E23,S$12&lt;=$F23),IF($AA23="Milestone",IF(AND(OR($D23="Complete",$D23="Submitted"),$F23&gt;Sources!$C$5),"T",2),IF(AND(OR($D23="Complete",$D23="Submitted"),S$12&gt;Sources!$C$5),4,1)),"")))</x:f>
      </x:c>
      <x:c r="T23" s="35" t="str">
        <x:f>IF(OR($E23="",$F23="Unscheduled"),"",IF($AA23="Either date",IF(OR(T$12=$E23,T$12=$F23),3,""),IF(AND(T$12&gt;=$E23,T$12&lt;=$F23),IF($AA23="Milestone",IF(AND(OR($D23="Complete",$D23="Submitted"),$F23&gt;Sources!$C$5),"T",2),IF(AND(OR($D23="Complete",$D23="Submitted"),T$12&gt;Sources!$C$5),4,1)),"")))</x:f>
      </x:c>
      <x:c r="U23" s="35" t="str">
        <x:f>IF(OR($E23="",$F23="Unscheduled"),"",IF($AA23="Either date",IF(OR(U$12=$E23,U$12=$F23),3,""),IF(AND(U$12&gt;=$E23,U$12&lt;=$F23),IF($AA23="Milestone",IF(AND(OR($D23="Complete",$D23="Submitted"),$F23&gt;Sources!$C$5),"T",2),IF(AND(OR($D23="Complete",$D23="Submitted"),U$12&gt;Sources!$C$5),4,1)),"")))</x:f>
      </x:c>
      <x:c r="V23" s="35" t="str">
        <x:f>IF(OR($E23="",$F23="Unscheduled"),"",IF($AA23="Either date",IF(OR(V$12=$E23,V$12=$F23),3,""),IF(AND(V$12&gt;=$E23,V$12&lt;=$F23),IF($AA23="Milestone",IF(AND(OR($D23="Complete",$D23="Submitted"),$F23&gt;Sources!$C$5),"T",2),IF(AND(OR($D23="Complete",$D23="Submitted"),V$12&gt;Sources!$C$5),4,1)),"")))</x:f>
      </x:c>
      <x:c r="W23" s="35" t="str">
        <x:f>IF(OR($E23="",$F23="Unscheduled"),"",IF($AA23="Either date",IF(OR(W$12=$E23,W$12=$F23),3,""),IF(AND(W$12&gt;=$E23,W$12&lt;=$F23),IF($AA23="Milestone",IF(AND(OR($D23="Complete",$D23="Submitted"),$F23&gt;Sources!$C$5),"T",2),IF(AND(OR($D23="Complete",$D23="Submitted"),W$12&gt;Sources!$C$5),4,1)),"")))</x:f>
      </x:c>
      <x:c r="X23" s="35" t="str">
        <x:f>IF(OR($E23="",$F23="Unscheduled"),"",IF($AA23="Either date",IF(OR(X$12=$E23,X$12=$F23),3,""),IF(AND(X$12&gt;=$E23,X$12&lt;=$F23),IF($AA23="Milestone",IF(AND(OR($D23="Complete",$D23="Submitted"),$F23&gt;Sources!$C$5),"T",2),IF(AND(OR($D23="Complete",$D23="Submitted"),X$12&gt;Sources!$C$5),4,1)),"")))</x:f>
      </x:c>
      <x:c r="Y23" s="35" t="str">
        <x:f>IF(OR($E23="",$F23="Unscheduled"),"",IF($AA23="Either date",IF(OR(Y$12=$E23,Y$12=$F23),3,""),IF(AND(Y$12&gt;=$E23,Y$12&lt;=$F23),IF($AA23="Milestone",IF(AND(OR($D23="Complete",$D23="Submitted"),$F23&gt;Sources!$C$5),"T",2),IF(AND(OR($D23="Complete",$D23="Submitted"),Y$12&gt;Sources!$C$5),4,1)),"")))</x:f>
      </x:c>
      <x:c r="Z23" s="2"/>
      <x:c r="AA23" s="2" t="str">
        <x:f>'Full schedule'!I88</x:f>
        <x:v>Milestone</x:v>
      </x:c>
    </x:row>
    <x:row r="24" ht="44" customHeight="1">
      <x:c r="A24" s="36" t="str">
        <x:f>'Full schedule'!A89</x:f>
        <x:v>C11</x:v>
      </x:c>
      <x:c r="B24" s="37" t="str">
        <x:f>'Full schedule'!B89</x:f>
        <x:v>Prototypes 1, 2, and 3</x:v>
      </x:c>
      <x:c r="C24" s="37" t="str">
        <x:f>'Full schedule'!C89</x:f>
        <x:v>All four</x:v>
      </x:c>
      <x:c r="D24" s="36" t="str">
        <x:f>IF('Full schedule'!G89="Review","Review dates",'Full schedule'!D89)</x:f>
        <x:v>Planned</x:v>
      </x:c>
      <x:c r="E24" s="44" t="n">
        <x:f>IF('Full schedule'!E89="","",'Full schedule'!E89)</x:f>
        <x:v>46321</x:v>
      </x:c>
      <x:c r="F24" s="44" t="n">
        <x:f>IF('Full schedule'!F89="",IF(OR('Full schedule'!D89="Complete",'Full schedule'!D89="Submitted"),"n.a.","Unscheduled"),'Full schedule'!F89)</x:f>
        <x:v>46321</x:v>
      </x:c>
      <x:c r="G24" s="35" t="str">
        <x:f>IF(OR($E24="",$F24="Unscheduled"),"",IF($AA24="Either date",IF(OR(G$12=$E24,G$12=$F24),3,""),IF(AND(G$12&gt;=$E24,G$12&lt;=$F24),IF($AA24="Milestone",IF(AND(OR($D24="Complete",$D24="Submitted"),$F24&gt;Sources!$C$5),"T",2),IF(AND(OR($D24="Complete",$D24="Submitted"),G$12&gt;Sources!$C$5),4,1)),"")))</x:f>
      </x:c>
      <x:c r="H24" s="35" t="str">
        <x:f>IF(OR($E24="",$F24="Unscheduled"),"",IF($AA24="Either date",IF(OR(H$12=$E24,H$12=$F24),3,""),IF(AND(H$12&gt;=$E24,H$12&lt;=$F24),IF($AA24="Milestone",IF(AND(OR($D24="Complete",$D24="Submitted"),$F24&gt;Sources!$C$5),"T",2),IF(AND(OR($D24="Complete",$D24="Submitted"),H$12&gt;Sources!$C$5),4,1)),"")))</x:f>
      </x:c>
      <x:c r="I24" s="35" t="str">
        <x:f>IF(OR($E24="",$F24="Unscheduled"),"",IF($AA24="Either date",IF(OR(I$12=$E24,I$12=$F24),3,""),IF(AND(I$12&gt;=$E24,I$12&lt;=$F24),IF($AA24="Milestone",IF(AND(OR($D24="Complete",$D24="Submitted"),$F24&gt;Sources!$C$5),"T",2),IF(AND(OR($D24="Complete",$D24="Submitted"),I$12&gt;Sources!$C$5),4,1)),"")))</x:f>
      </x:c>
      <x:c r="J24" s="35" t="str">
        <x:f>IF(OR($E24="",$F24="Unscheduled"),"",IF($AA24="Either date",IF(OR(J$12=$E24,J$12=$F24),3,""),IF(AND(J$12&gt;=$E24,J$12&lt;=$F24),IF($AA24="Milestone",IF(AND(OR($D24="Complete",$D24="Submitted"),$F24&gt;Sources!$C$5),"T",2),IF(AND(OR($D24="Complete",$D24="Submitted"),J$12&gt;Sources!$C$5),4,1)),"")))</x:f>
      </x:c>
      <x:c r="K24" s="35" t="str">
        <x:f>IF(OR($E24="",$F24="Unscheduled"),"",IF($AA24="Either date",IF(OR(K$12=$E24,K$12=$F24),3,""),IF(AND(K$12&gt;=$E24,K$12&lt;=$F24),IF($AA24="Milestone",IF(AND(OR($D24="Complete",$D24="Submitted"),$F24&gt;Sources!$C$5),"T",2),IF(AND(OR($D24="Complete",$D24="Submitted"),K$12&gt;Sources!$C$5),4,1)),"")))</x:f>
      </x:c>
      <x:c r="L24" s="35" t="str">
        <x:f>IF(OR($E24="",$F24="Unscheduled"),"",IF($AA24="Either date",IF(OR(L$12=$E24,L$12=$F24),3,""),IF(AND(L$12&gt;=$E24,L$12&lt;=$F24),IF($AA24="Milestone",IF(AND(OR($D24="Complete",$D24="Submitted"),$F24&gt;Sources!$C$5),"T",2),IF(AND(OR($D24="Complete",$D24="Submitted"),L$12&gt;Sources!$C$5),4,1)),"")))</x:f>
      </x:c>
      <x:c r="M24" s="35" t="str">
        <x:f>IF(OR($E24="",$F24="Unscheduled"),"",IF($AA24="Either date",IF(OR(M$12=$E24,M$12=$F24),3,""),IF(AND(M$12&gt;=$E24,M$12&lt;=$F24),IF($AA24="Milestone",IF(AND(OR($D24="Complete",$D24="Submitted"),$F24&gt;Sources!$C$5),"T",2),IF(AND(OR($D24="Complete",$D24="Submitted"),M$12&gt;Sources!$C$5),4,1)),"")))</x:f>
      </x:c>
      <x:c r="N24" s="35" t="n">
        <x:f>IF(OR($E24="",$F24="Unscheduled"),"",IF($AA24="Either date",IF(OR(N$12=$E24,N$12=$F24),3,""),IF(AND(N$12&gt;=$E24,N$12&lt;=$F24),IF($AA24="Milestone",IF(AND(OR($D24="Complete",$D24="Submitted"),$F24&gt;Sources!$C$5),"T",2),IF(AND(OR($D24="Complete",$D24="Submitted"),N$12&gt;Sources!$C$5),4,1)),"")))</x:f>
        <x:v>2</x:v>
      </x:c>
      <x:c r="O24" s="35" t="str">
        <x:f>IF(OR($E24="",$F24="Unscheduled"),"",IF($AA24="Either date",IF(OR(O$12=$E24,O$12=$F24),3,""),IF(AND(O$12&gt;=$E24,O$12&lt;=$F24),IF($AA24="Milestone",IF(AND(OR($D24="Complete",$D24="Submitted"),$F24&gt;Sources!$C$5),"T",2),IF(AND(OR($D24="Complete",$D24="Submitted"),O$12&gt;Sources!$C$5),4,1)),"")))</x:f>
      </x:c>
      <x:c r="P24" s="35" t="str">
        <x:f>IF(OR($E24="",$F24="Unscheduled"),"",IF($AA24="Either date",IF(OR(P$12=$E24,P$12=$F24),3,""),IF(AND(P$12&gt;=$E24,P$12&lt;=$F24),IF($AA24="Milestone",IF(AND(OR($D24="Complete",$D24="Submitted"),$F24&gt;Sources!$C$5),"T",2),IF(AND(OR($D24="Complete",$D24="Submitted"),P$12&gt;Sources!$C$5),4,1)),"")))</x:f>
      </x:c>
      <x:c r="Q24" s="35" t="str">
        <x:f>IF(OR($E24="",$F24="Unscheduled"),"",IF($AA24="Either date",IF(OR(Q$12=$E24,Q$12=$F24),3,""),IF(AND(Q$12&gt;=$E24,Q$12&lt;=$F24),IF($AA24="Milestone",IF(AND(OR($D24="Complete",$D24="Submitted"),$F24&gt;Sources!$C$5),"T",2),IF(AND(OR($D24="Complete",$D24="Submitted"),Q$12&gt;Sources!$C$5),4,1)),"")))</x:f>
      </x:c>
      <x:c r="R24" s="35" t="str">
        <x:f>IF(OR($E24="",$F24="Unscheduled"),"",IF($AA24="Either date",IF(OR(R$12=$E24,R$12=$F24),3,""),IF(AND(R$12&gt;=$E24,R$12&lt;=$F24),IF($AA24="Milestone",IF(AND(OR($D24="Complete",$D24="Submitted"),$F24&gt;Sources!$C$5),"T",2),IF(AND(OR($D24="Complete",$D24="Submitted"),R$12&gt;Sources!$C$5),4,1)),"")))</x:f>
      </x:c>
      <x:c r="S24" s="35" t="str">
        <x:f>IF(OR($E24="",$F24="Unscheduled"),"",IF($AA24="Either date",IF(OR(S$12=$E24,S$12=$F24),3,""),IF(AND(S$12&gt;=$E24,S$12&lt;=$F24),IF($AA24="Milestone",IF(AND(OR($D24="Complete",$D24="Submitted"),$F24&gt;Sources!$C$5),"T",2),IF(AND(OR($D24="Complete",$D24="Submitted"),S$12&gt;Sources!$C$5),4,1)),"")))</x:f>
      </x:c>
      <x:c r="T24" s="35" t="str">
        <x:f>IF(OR($E24="",$F24="Unscheduled"),"",IF($AA24="Either date",IF(OR(T$12=$E24,T$12=$F24),3,""),IF(AND(T$12&gt;=$E24,T$12&lt;=$F24),IF($AA24="Milestone",IF(AND(OR($D24="Complete",$D24="Submitted"),$F24&gt;Sources!$C$5),"T",2),IF(AND(OR($D24="Complete",$D24="Submitted"),T$12&gt;Sources!$C$5),4,1)),"")))</x:f>
      </x:c>
      <x:c r="U24" s="35" t="str">
        <x:f>IF(OR($E24="",$F24="Unscheduled"),"",IF($AA24="Either date",IF(OR(U$12=$E24,U$12=$F24),3,""),IF(AND(U$12&gt;=$E24,U$12&lt;=$F24),IF($AA24="Milestone",IF(AND(OR($D24="Complete",$D24="Submitted"),$F24&gt;Sources!$C$5),"T",2),IF(AND(OR($D24="Complete",$D24="Submitted"),U$12&gt;Sources!$C$5),4,1)),"")))</x:f>
      </x:c>
      <x:c r="V24" s="35" t="str">
        <x:f>IF(OR($E24="",$F24="Unscheduled"),"",IF($AA24="Either date",IF(OR(V$12=$E24,V$12=$F24),3,""),IF(AND(V$12&gt;=$E24,V$12&lt;=$F24),IF($AA24="Milestone",IF(AND(OR($D24="Complete",$D24="Submitted"),$F24&gt;Sources!$C$5),"T",2),IF(AND(OR($D24="Complete",$D24="Submitted"),V$12&gt;Sources!$C$5),4,1)),"")))</x:f>
      </x:c>
      <x:c r="W24" s="35" t="str">
        <x:f>IF(OR($E24="",$F24="Unscheduled"),"",IF($AA24="Either date",IF(OR(W$12=$E24,W$12=$F24),3,""),IF(AND(W$12&gt;=$E24,W$12&lt;=$F24),IF($AA24="Milestone",IF(AND(OR($D24="Complete",$D24="Submitted"),$F24&gt;Sources!$C$5),"T",2),IF(AND(OR($D24="Complete",$D24="Submitted"),W$12&gt;Sources!$C$5),4,1)),"")))</x:f>
      </x:c>
      <x:c r="X24" s="35" t="str">
        <x:f>IF(OR($E24="",$F24="Unscheduled"),"",IF($AA24="Either date",IF(OR(X$12=$E24,X$12=$F24),3,""),IF(AND(X$12&gt;=$E24,X$12&lt;=$F24),IF($AA24="Milestone",IF(AND(OR($D24="Complete",$D24="Submitted"),$F24&gt;Sources!$C$5),"T",2),IF(AND(OR($D24="Complete",$D24="Submitted"),X$12&gt;Sources!$C$5),4,1)),"")))</x:f>
      </x:c>
      <x:c r="Y24" s="35" t="str">
        <x:f>IF(OR($E24="",$F24="Unscheduled"),"",IF($AA24="Either date",IF(OR(Y$12=$E24,Y$12=$F24),3,""),IF(AND(Y$12&gt;=$E24,Y$12&lt;=$F24),IF($AA24="Milestone",IF(AND(OR($D24="Complete",$D24="Submitted"),$F24&gt;Sources!$C$5),"T",2),IF(AND(OR($D24="Complete",$D24="Submitted"),Y$12&gt;Sources!$C$5),4,1)),"")))</x:f>
      </x:c>
      <x:c r="Z24" s="2"/>
      <x:c r="AA24" s="2" t="str">
        <x:f>'Full schedule'!I89</x:f>
        <x:v>Milestone</x:v>
      </x:c>
    </x:row>
    <x:row r="25" ht="44" customHeight="1">
      <x:c r="A25" s="2" t="str">
        <x:f>'Full schedule'!A90</x:f>
        <x:v>C9</x:v>
      </x:c>
      <x:c r="B25" s="18" t="str">
        <x:f>'Full schedule'!B90</x:f>
        <x:v>Midterm Group Presentation</x:v>
      </x:c>
      <x:c r="C25" s="18" t="str">
        <x:f>'Full schedule'!C90</x:f>
        <x:v>All four</x:v>
      </x:c>
      <x:c r="D25" s="2" t="str">
        <x:f>IF('Full schedule'!G90="Review","Review dates",'Full schedule'!D90)</x:f>
        <x:v>Planned</x:v>
      </x:c>
      <x:c r="E25" s="43" t="n">
        <x:f>IF('Full schedule'!E90="","",'Full schedule'!E90)</x:f>
        <x:v>46321</x:v>
      </x:c>
      <x:c r="F25" s="43" t="n">
        <x:f>IF('Full schedule'!F90="",IF(OR('Full schedule'!D90="Complete",'Full schedule'!D90="Submitted"),"n.a.","Unscheduled"),'Full schedule'!F90)</x:f>
        <x:v>46323</x:v>
      </x:c>
      <x:c r="G25" s="35" t="str">
        <x:f>IF(OR($E25="",$F25="Unscheduled"),"",IF($AA25="Either date",IF(OR(G$12=$E25,G$12=$F25),3,""),IF(AND(G$12&gt;=$E25,G$12&lt;=$F25),IF($AA25="Milestone",IF(AND(OR($D25="Complete",$D25="Submitted"),$F25&gt;Sources!$C$5),"T",2),IF(AND(OR($D25="Complete",$D25="Submitted"),G$12&gt;Sources!$C$5),4,1)),"")))</x:f>
      </x:c>
      <x:c r="H25" s="35" t="str">
        <x:f>IF(OR($E25="",$F25="Unscheduled"),"",IF($AA25="Either date",IF(OR(H$12=$E25,H$12=$F25),3,""),IF(AND(H$12&gt;=$E25,H$12&lt;=$F25),IF($AA25="Milestone",IF(AND(OR($D25="Complete",$D25="Submitted"),$F25&gt;Sources!$C$5),"T",2),IF(AND(OR($D25="Complete",$D25="Submitted"),H$12&gt;Sources!$C$5),4,1)),"")))</x:f>
      </x:c>
      <x:c r="I25" s="35" t="str">
        <x:f>IF(OR($E25="",$F25="Unscheduled"),"",IF($AA25="Either date",IF(OR(I$12=$E25,I$12=$F25),3,""),IF(AND(I$12&gt;=$E25,I$12&lt;=$F25),IF($AA25="Milestone",IF(AND(OR($D25="Complete",$D25="Submitted"),$F25&gt;Sources!$C$5),"T",2),IF(AND(OR($D25="Complete",$D25="Submitted"),I$12&gt;Sources!$C$5),4,1)),"")))</x:f>
      </x:c>
      <x:c r="J25" s="35" t="str">
        <x:f>IF(OR($E25="",$F25="Unscheduled"),"",IF($AA25="Either date",IF(OR(J$12=$E25,J$12=$F25),3,""),IF(AND(J$12&gt;=$E25,J$12&lt;=$F25),IF($AA25="Milestone",IF(AND(OR($D25="Complete",$D25="Submitted"),$F25&gt;Sources!$C$5),"T",2),IF(AND(OR($D25="Complete",$D25="Submitted"),J$12&gt;Sources!$C$5),4,1)),"")))</x:f>
      </x:c>
      <x:c r="K25" s="35" t="str">
        <x:f>IF(OR($E25="",$F25="Unscheduled"),"",IF($AA25="Either date",IF(OR(K$12=$E25,K$12=$F25),3,""),IF(AND(K$12&gt;=$E25,K$12&lt;=$F25),IF($AA25="Milestone",IF(AND(OR($D25="Complete",$D25="Submitted"),$F25&gt;Sources!$C$5),"T",2),IF(AND(OR($D25="Complete",$D25="Submitted"),K$12&gt;Sources!$C$5),4,1)),"")))</x:f>
      </x:c>
      <x:c r="L25" s="35" t="str">
        <x:f>IF(OR($E25="",$F25="Unscheduled"),"",IF($AA25="Either date",IF(OR(L$12=$E25,L$12=$F25),3,""),IF(AND(L$12&gt;=$E25,L$12&lt;=$F25),IF($AA25="Milestone",IF(AND(OR($D25="Complete",$D25="Submitted"),$F25&gt;Sources!$C$5),"T",2),IF(AND(OR($D25="Complete",$D25="Submitted"),L$12&gt;Sources!$C$5),4,1)),"")))</x:f>
      </x:c>
      <x:c r="M25" s="35" t="str">
        <x:f>IF(OR($E25="",$F25="Unscheduled"),"",IF($AA25="Either date",IF(OR(M$12=$E25,M$12=$F25),3,""),IF(AND(M$12&gt;=$E25,M$12&lt;=$F25),IF($AA25="Milestone",IF(AND(OR($D25="Complete",$D25="Submitted"),$F25&gt;Sources!$C$5),"T",2),IF(AND(OR($D25="Complete",$D25="Submitted"),M$12&gt;Sources!$C$5),4,1)),"")))</x:f>
      </x:c>
      <x:c r="N25" s="35" t="n">
        <x:f>IF(OR($E25="",$F25="Unscheduled"),"",IF($AA25="Either date",IF(OR(N$12=$E25,N$12=$F25),3,""),IF(AND(N$12&gt;=$E25,N$12&lt;=$F25),IF($AA25="Milestone",IF(AND(OR($D25="Complete",$D25="Submitted"),$F25&gt;Sources!$C$5),"T",2),IF(AND(OR($D25="Complete",$D25="Submitted"),N$12&gt;Sources!$C$5),4,1)),"")))</x:f>
        <x:v>3</x:v>
      </x:c>
      <x:c r="O25" s="35" t="str">
        <x:f>IF(OR($E25="",$F25="Unscheduled"),"",IF($AA25="Either date",IF(OR(O$12=$E25,O$12=$F25),3,""),IF(AND(O$12&gt;=$E25,O$12&lt;=$F25),IF($AA25="Milestone",IF(AND(OR($D25="Complete",$D25="Submitted"),$F25&gt;Sources!$C$5),"T",2),IF(AND(OR($D25="Complete",$D25="Submitted"),O$12&gt;Sources!$C$5),4,1)),"")))</x:f>
      </x:c>
      <x:c r="P25" s="35" t="n">
        <x:f>IF(OR($E25="",$F25="Unscheduled"),"",IF($AA25="Either date",IF(OR(P$12=$E25,P$12=$F25),3,""),IF(AND(P$12&gt;=$E25,P$12&lt;=$F25),IF($AA25="Milestone",IF(AND(OR($D25="Complete",$D25="Submitted"),$F25&gt;Sources!$C$5),"T",2),IF(AND(OR($D25="Complete",$D25="Submitted"),P$12&gt;Sources!$C$5),4,1)),"")))</x:f>
        <x:v>3</x:v>
      </x:c>
      <x:c r="Q25" s="35" t="str">
        <x:f>IF(OR($E25="",$F25="Unscheduled"),"",IF($AA25="Either date",IF(OR(Q$12=$E25,Q$12=$F25),3,""),IF(AND(Q$12&gt;=$E25,Q$12&lt;=$F25),IF($AA25="Milestone",IF(AND(OR($D25="Complete",$D25="Submitted"),$F25&gt;Sources!$C$5),"T",2),IF(AND(OR($D25="Complete",$D25="Submitted"),Q$12&gt;Sources!$C$5),4,1)),"")))</x:f>
      </x:c>
      <x:c r="R25" s="35" t="str">
        <x:f>IF(OR($E25="",$F25="Unscheduled"),"",IF($AA25="Either date",IF(OR(R$12=$E25,R$12=$F25),3,""),IF(AND(R$12&gt;=$E25,R$12&lt;=$F25),IF($AA25="Milestone",IF(AND(OR($D25="Complete",$D25="Submitted"),$F25&gt;Sources!$C$5),"T",2),IF(AND(OR($D25="Complete",$D25="Submitted"),R$12&gt;Sources!$C$5),4,1)),"")))</x:f>
      </x:c>
      <x:c r="S25" s="35" t="str">
        <x:f>IF(OR($E25="",$F25="Unscheduled"),"",IF($AA25="Either date",IF(OR(S$12=$E25,S$12=$F25),3,""),IF(AND(S$12&gt;=$E25,S$12&lt;=$F25),IF($AA25="Milestone",IF(AND(OR($D25="Complete",$D25="Submitted"),$F25&gt;Sources!$C$5),"T",2),IF(AND(OR($D25="Complete",$D25="Submitted"),S$12&gt;Sources!$C$5),4,1)),"")))</x:f>
      </x:c>
      <x:c r="T25" s="35" t="str">
        <x:f>IF(OR($E25="",$F25="Unscheduled"),"",IF($AA25="Either date",IF(OR(T$12=$E25,T$12=$F25),3,""),IF(AND(T$12&gt;=$E25,T$12&lt;=$F25),IF($AA25="Milestone",IF(AND(OR($D25="Complete",$D25="Submitted"),$F25&gt;Sources!$C$5),"T",2),IF(AND(OR($D25="Complete",$D25="Submitted"),T$12&gt;Sources!$C$5),4,1)),"")))</x:f>
      </x:c>
      <x:c r="U25" s="35" t="str">
        <x:f>IF(OR($E25="",$F25="Unscheduled"),"",IF($AA25="Either date",IF(OR(U$12=$E25,U$12=$F25),3,""),IF(AND(U$12&gt;=$E25,U$12&lt;=$F25),IF($AA25="Milestone",IF(AND(OR($D25="Complete",$D25="Submitted"),$F25&gt;Sources!$C$5),"T",2),IF(AND(OR($D25="Complete",$D25="Submitted"),U$12&gt;Sources!$C$5),4,1)),"")))</x:f>
      </x:c>
      <x:c r="V25" s="35" t="str">
        <x:f>IF(OR($E25="",$F25="Unscheduled"),"",IF($AA25="Either date",IF(OR(V$12=$E25,V$12=$F25),3,""),IF(AND(V$12&gt;=$E25,V$12&lt;=$F25),IF($AA25="Milestone",IF(AND(OR($D25="Complete",$D25="Submitted"),$F25&gt;Sources!$C$5),"T",2),IF(AND(OR($D25="Complete",$D25="Submitted"),V$12&gt;Sources!$C$5),4,1)),"")))</x:f>
      </x:c>
      <x:c r="W25" s="35" t="str">
        <x:f>IF(OR($E25="",$F25="Unscheduled"),"",IF($AA25="Either date",IF(OR(W$12=$E25,W$12=$F25),3,""),IF(AND(W$12&gt;=$E25,W$12&lt;=$F25),IF($AA25="Milestone",IF(AND(OR($D25="Complete",$D25="Submitted"),$F25&gt;Sources!$C$5),"T",2),IF(AND(OR($D25="Complete",$D25="Submitted"),W$12&gt;Sources!$C$5),4,1)),"")))</x:f>
      </x:c>
      <x:c r="X25" s="35" t="str">
        <x:f>IF(OR($E25="",$F25="Unscheduled"),"",IF($AA25="Either date",IF(OR(X$12=$E25,X$12=$F25),3,""),IF(AND(X$12&gt;=$E25,X$12&lt;=$F25),IF($AA25="Milestone",IF(AND(OR($D25="Complete",$D25="Submitted"),$F25&gt;Sources!$C$5),"T",2),IF(AND(OR($D25="Complete",$D25="Submitted"),X$12&gt;Sources!$C$5),4,1)),"")))</x:f>
      </x:c>
      <x:c r="Y25" s="35" t="str">
        <x:f>IF(OR($E25="",$F25="Unscheduled"),"",IF($AA25="Either date",IF(OR(Y$12=$E25,Y$12=$F25),3,""),IF(AND(Y$12&gt;=$E25,Y$12&lt;=$F25),IF($AA25="Milestone",IF(AND(OR($D25="Complete",$D25="Submitted"),$F25&gt;Sources!$C$5),"T",2),IF(AND(OR($D25="Complete",$D25="Submitted"),Y$12&gt;Sources!$C$5),4,1)),"")))</x:f>
      </x:c>
      <x:c r="Z25" s="2"/>
      <x:c r="AA25" s="2" t="str">
        <x:f>'Full schedule'!I90</x:f>
        <x:v>Either date</x:v>
      </x:c>
    </x:row>
    <x:row r="26" ht="44" customHeight="1">
      <x:c r="A26" s="36" t="str">
        <x:f>'Full schedule'!A91</x:f>
        <x:v>C10</x:v>
      </x:c>
      <x:c r="B26" s="37" t="str">
        <x:f>'Full schedule'!B91</x:f>
        <x:v>Midterm Individual Presentation Grade</x:v>
      </x:c>
      <x:c r="C26" s="37" t="str">
        <x:f>'Full schedule'!C91</x:f>
        <x:v>All four</x:v>
      </x:c>
      <x:c r="D26" s="36" t="str">
        <x:f>IF('Full schedule'!G91="Review","Review dates",'Full schedule'!D91)</x:f>
        <x:v>Planned</x:v>
      </x:c>
      <x:c r="E26" s="44" t="n">
        <x:f>IF('Full schedule'!E91="","",'Full schedule'!E91)</x:f>
        <x:v>46321</x:v>
      </x:c>
      <x:c r="F26" s="44" t="n">
        <x:f>IF('Full schedule'!F91="",IF(OR('Full schedule'!D91="Complete",'Full schedule'!D91="Submitted"),"n.a.","Unscheduled"),'Full schedule'!F91)</x:f>
        <x:v>46323</x:v>
      </x:c>
      <x:c r="G26" s="35" t="str">
        <x:f>IF(OR($E26="",$F26="Unscheduled"),"",IF($AA26="Either date",IF(OR(G$12=$E26,G$12=$F26),3,""),IF(AND(G$12&gt;=$E26,G$12&lt;=$F26),IF($AA26="Milestone",IF(AND(OR($D26="Complete",$D26="Submitted"),$F26&gt;Sources!$C$5),"T",2),IF(AND(OR($D26="Complete",$D26="Submitted"),G$12&gt;Sources!$C$5),4,1)),"")))</x:f>
      </x:c>
      <x:c r="H26" s="35" t="str">
        <x:f>IF(OR($E26="",$F26="Unscheduled"),"",IF($AA26="Either date",IF(OR(H$12=$E26,H$12=$F26),3,""),IF(AND(H$12&gt;=$E26,H$12&lt;=$F26),IF($AA26="Milestone",IF(AND(OR($D26="Complete",$D26="Submitted"),$F26&gt;Sources!$C$5),"T",2),IF(AND(OR($D26="Complete",$D26="Submitted"),H$12&gt;Sources!$C$5),4,1)),"")))</x:f>
      </x:c>
      <x:c r="I26" s="35" t="str">
        <x:f>IF(OR($E26="",$F26="Unscheduled"),"",IF($AA26="Either date",IF(OR(I$12=$E26,I$12=$F26),3,""),IF(AND(I$12&gt;=$E26,I$12&lt;=$F26),IF($AA26="Milestone",IF(AND(OR($D26="Complete",$D26="Submitted"),$F26&gt;Sources!$C$5),"T",2),IF(AND(OR($D26="Complete",$D26="Submitted"),I$12&gt;Sources!$C$5),4,1)),"")))</x:f>
      </x:c>
      <x:c r="J26" s="35" t="str">
        <x:f>IF(OR($E26="",$F26="Unscheduled"),"",IF($AA26="Either date",IF(OR(J$12=$E26,J$12=$F26),3,""),IF(AND(J$12&gt;=$E26,J$12&lt;=$F26),IF($AA26="Milestone",IF(AND(OR($D26="Complete",$D26="Submitted"),$F26&gt;Sources!$C$5),"T",2),IF(AND(OR($D26="Complete",$D26="Submitted"),J$12&gt;Sources!$C$5),4,1)),"")))</x:f>
      </x:c>
      <x:c r="K26" s="35" t="str">
        <x:f>IF(OR($E26="",$F26="Unscheduled"),"",IF($AA26="Either date",IF(OR(K$12=$E26,K$12=$F26),3,""),IF(AND(K$12&gt;=$E26,K$12&lt;=$F26),IF($AA26="Milestone",IF(AND(OR($D26="Complete",$D26="Submitted"),$F26&gt;Sources!$C$5),"T",2),IF(AND(OR($D26="Complete",$D26="Submitted"),K$12&gt;Sources!$C$5),4,1)),"")))</x:f>
      </x:c>
      <x:c r="L26" s="35" t="str">
        <x:f>IF(OR($E26="",$F26="Unscheduled"),"",IF($AA26="Either date",IF(OR(L$12=$E26,L$12=$F26),3,""),IF(AND(L$12&gt;=$E26,L$12&lt;=$F26),IF($AA26="Milestone",IF(AND(OR($D26="Complete",$D26="Submitted"),$F26&gt;Sources!$C$5),"T",2),IF(AND(OR($D26="Complete",$D26="Submitted"),L$12&gt;Sources!$C$5),4,1)),"")))</x:f>
      </x:c>
      <x:c r="M26" s="35" t="str">
        <x:f>IF(OR($E26="",$F26="Unscheduled"),"",IF($AA26="Either date",IF(OR(M$12=$E26,M$12=$F26),3,""),IF(AND(M$12&gt;=$E26,M$12&lt;=$F26),IF($AA26="Milestone",IF(AND(OR($D26="Complete",$D26="Submitted"),$F26&gt;Sources!$C$5),"T",2),IF(AND(OR($D26="Complete",$D26="Submitted"),M$12&gt;Sources!$C$5),4,1)),"")))</x:f>
      </x:c>
      <x:c r="N26" s="35" t="n">
        <x:f>IF(OR($E26="",$F26="Unscheduled"),"",IF($AA26="Either date",IF(OR(N$12=$E26,N$12=$F26),3,""),IF(AND(N$12&gt;=$E26,N$12&lt;=$F26),IF($AA26="Milestone",IF(AND(OR($D26="Complete",$D26="Submitted"),$F26&gt;Sources!$C$5),"T",2),IF(AND(OR($D26="Complete",$D26="Submitted"),N$12&gt;Sources!$C$5),4,1)),"")))</x:f>
        <x:v>3</x:v>
      </x:c>
      <x:c r="O26" s="35" t="str">
        <x:f>IF(OR($E26="",$F26="Unscheduled"),"",IF($AA26="Either date",IF(OR(O$12=$E26,O$12=$F26),3,""),IF(AND(O$12&gt;=$E26,O$12&lt;=$F26),IF($AA26="Milestone",IF(AND(OR($D26="Complete",$D26="Submitted"),$F26&gt;Sources!$C$5),"T",2),IF(AND(OR($D26="Complete",$D26="Submitted"),O$12&gt;Sources!$C$5),4,1)),"")))</x:f>
      </x:c>
      <x:c r="P26" s="35" t="n">
        <x:f>IF(OR($E26="",$F26="Unscheduled"),"",IF($AA26="Either date",IF(OR(P$12=$E26,P$12=$F26),3,""),IF(AND(P$12&gt;=$E26,P$12&lt;=$F26),IF($AA26="Milestone",IF(AND(OR($D26="Complete",$D26="Submitted"),$F26&gt;Sources!$C$5),"T",2),IF(AND(OR($D26="Complete",$D26="Submitted"),P$12&gt;Sources!$C$5),4,1)),"")))</x:f>
        <x:v>3</x:v>
      </x:c>
      <x:c r="Q26" s="35" t="str">
        <x:f>IF(OR($E26="",$F26="Unscheduled"),"",IF($AA26="Either date",IF(OR(Q$12=$E26,Q$12=$F26),3,""),IF(AND(Q$12&gt;=$E26,Q$12&lt;=$F26),IF($AA26="Milestone",IF(AND(OR($D26="Complete",$D26="Submitted"),$F26&gt;Sources!$C$5),"T",2),IF(AND(OR($D26="Complete",$D26="Submitted"),Q$12&gt;Sources!$C$5),4,1)),"")))</x:f>
      </x:c>
      <x:c r="R26" s="35" t="str">
        <x:f>IF(OR($E26="",$F26="Unscheduled"),"",IF($AA26="Either date",IF(OR(R$12=$E26,R$12=$F26),3,""),IF(AND(R$12&gt;=$E26,R$12&lt;=$F26),IF($AA26="Milestone",IF(AND(OR($D26="Complete",$D26="Submitted"),$F26&gt;Sources!$C$5),"T",2),IF(AND(OR($D26="Complete",$D26="Submitted"),R$12&gt;Sources!$C$5),4,1)),"")))</x:f>
      </x:c>
      <x:c r="S26" s="35" t="str">
        <x:f>IF(OR($E26="",$F26="Unscheduled"),"",IF($AA26="Either date",IF(OR(S$12=$E26,S$12=$F26),3,""),IF(AND(S$12&gt;=$E26,S$12&lt;=$F26),IF($AA26="Milestone",IF(AND(OR($D26="Complete",$D26="Submitted"),$F26&gt;Sources!$C$5),"T",2),IF(AND(OR($D26="Complete",$D26="Submitted"),S$12&gt;Sources!$C$5),4,1)),"")))</x:f>
      </x:c>
      <x:c r="T26" s="35" t="str">
        <x:f>IF(OR($E26="",$F26="Unscheduled"),"",IF($AA26="Either date",IF(OR(T$12=$E26,T$12=$F26),3,""),IF(AND(T$12&gt;=$E26,T$12&lt;=$F26),IF($AA26="Milestone",IF(AND(OR($D26="Complete",$D26="Submitted"),$F26&gt;Sources!$C$5),"T",2),IF(AND(OR($D26="Complete",$D26="Submitted"),T$12&gt;Sources!$C$5),4,1)),"")))</x:f>
      </x:c>
      <x:c r="U26" s="35" t="str">
        <x:f>IF(OR($E26="",$F26="Unscheduled"),"",IF($AA26="Either date",IF(OR(U$12=$E26,U$12=$F26),3,""),IF(AND(U$12&gt;=$E26,U$12&lt;=$F26),IF($AA26="Milestone",IF(AND(OR($D26="Complete",$D26="Submitted"),$F26&gt;Sources!$C$5),"T",2),IF(AND(OR($D26="Complete",$D26="Submitted"),U$12&gt;Sources!$C$5),4,1)),"")))</x:f>
      </x:c>
      <x:c r="V26" s="35" t="str">
        <x:f>IF(OR($E26="",$F26="Unscheduled"),"",IF($AA26="Either date",IF(OR(V$12=$E26,V$12=$F26),3,""),IF(AND(V$12&gt;=$E26,V$12&lt;=$F26),IF($AA26="Milestone",IF(AND(OR($D26="Complete",$D26="Submitted"),$F26&gt;Sources!$C$5),"T",2),IF(AND(OR($D26="Complete",$D26="Submitted"),V$12&gt;Sources!$C$5),4,1)),"")))</x:f>
      </x:c>
      <x:c r="W26" s="35" t="str">
        <x:f>IF(OR($E26="",$F26="Unscheduled"),"",IF($AA26="Either date",IF(OR(W$12=$E26,W$12=$F26),3,""),IF(AND(W$12&gt;=$E26,W$12&lt;=$F26),IF($AA26="Milestone",IF(AND(OR($D26="Complete",$D26="Submitted"),$F26&gt;Sources!$C$5),"T",2),IF(AND(OR($D26="Complete",$D26="Submitted"),W$12&gt;Sources!$C$5),4,1)),"")))</x:f>
      </x:c>
      <x:c r="X26" s="35" t="str">
        <x:f>IF(OR($E26="",$F26="Unscheduled"),"",IF($AA26="Either date",IF(OR(X$12=$E26,X$12=$F26),3,""),IF(AND(X$12&gt;=$E26,X$12&lt;=$F26),IF($AA26="Milestone",IF(AND(OR($D26="Complete",$D26="Submitted"),$F26&gt;Sources!$C$5),"T",2),IF(AND(OR($D26="Complete",$D26="Submitted"),X$12&gt;Sources!$C$5),4,1)),"")))</x:f>
      </x:c>
      <x:c r="Y26" s="35" t="str">
        <x:f>IF(OR($E26="",$F26="Unscheduled"),"",IF($AA26="Either date",IF(OR(Y$12=$E26,Y$12=$F26),3,""),IF(AND(Y$12&gt;=$E26,Y$12&lt;=$F26),IF($AA26="Milestone",IF(AND(OR($D26="Complete",$D26="Submitted"),$F26&gt;Sources!$C$5),"T",2),IF(AND(OR($D26="Complete",$D26="Submitted"),Y$12&gt;Sources!$C$5),4,1)),"")))</x:f>
      </x:c>
      <x:c r="Z26" s="2"/>
      <x:c r="AA26" s="2" t="str">
        <x:f>'Full schedule'!I91</x:f>
        <x:v>Either date</x:v>
      </x:c>
    </x:row>
    <x:row r="27" ht="44" customHeight="1">
      <x:c r="A27" s="2" t="str">
        <x:f>'Full schedule'!A38</x:f>
        <x:v>I1</x:v>
      </x:c>
      <x:c r="B27" s="18" t="str">
        <x:f>'Full schedule'!B38</x:f>
        <x:v>Improve the MVP using midterm review feedback</x:v>
      </x:c>
      <x:c r="C27" s="18" t="str">
        <x:f>'Full schedule'!C38</x:f>
        <x:v>All four</x:v>
      </x:c>
      <x:c r="D27" s="2" t="str">
        <x:f>IF('Full schedule'!G38="Review","Review dates",'Full schedule'!D38)</x:f>
        <x:v>Planned</x:v>
      </x:c>
      <x:c r="E27" s="43" t="n">
        <x:f>IF('Full schedule'!E38="","",'Full schedule'!E38)</x:f>
        <x:v>46324</x:v>
      </x:c>
      <x:c r="F27" s="43" t="n">
        <x:f>IF('Full schedule'!F38="",IF(OR('Full schedule'!D38="Complete",'Full schedule'!D38="Submitted"),"n.a.","Unscheduled"),'Full schedule'!F38)</x:f>
        <x:v>46328</x:v>
      </x:c>
      <x:c r="G27" s="35" t="str">
        <x:f>IF(OR($E27="",$F27="Unscheduled"),"",IF($AA27="Either date",IF(OR(G$12=$E27,G$12=$F27),3,""),IF(AND(G$12&gt;=$E27,G$12&lt;=$F27),IF($AA27="Milestone",IF(AND(OR($D27="Complete",$D27="Submitted"),$F27&gt;Sources!$C$5),"T",2),IF(AND(OR($D27="Complete",$D27="Submitted"),G$12&gt;Sources!$C$5),4,1)),"")))</x:f>
      </x:c>
      <x:c r="H27" s="35" t="str">
        <x:f>IF(OR($E27="",$F27="Unscheduled"),"",IF($AA27="Either date",IF(OR(H$12=$E27,H$12=$F27),3,""),IF(AND(H$12&gt;=$E27,H$12&lt;=$F27),IF($AA27="Milestone",IF(AND(OR($D27="Complete",$D27="Submitted"),$F27&gt;Sources!$C$5),"T",2),IF(AND(OR($D27="Complete",$D27="Submitted"),H$12&gt;Sources!$C$5),4,1)),"")))</x:f>
      </x:c>
      <x:c r="I27" s="35" t="str">
        <x:f>IF(OR($E27="",$F27="Unscheduled"),"",IF($AA27="Either date",IF(OR(I$12=$E27,I$12=$F27),3,""),IF(AND(I$12&gt;=$E27,I$12&lt;=$F27),IF($AA27="Milestone",IF(AND(OR($D27="Complete",$D27="Submitted"),$F27&gt;Sources!$C$5),"T",2),IF(AND(OR($D27="Complete",$D27="Submitted"),I$12&gt;Sources!$C$5),4,1)),"")))</x:f>
      </x:c>
      <x:c r="J27" s="35" t="str">
        <x:f>IF(OR($E27="",$F27="Unscheduled"),"",IF($AA27="Either date",IF(OR(J$12=$E27,J$12=$F27),3,""),IF(AND(J$12&gt;=$E27,J$12&lt;=$F27),IF($AA27="Milestone",IF(AND(OR($D27="Complete",$D27="Submitted"),$F27&gt;Sources!$C$5),"T",2),IF(AND(OR($D27="Complete",$D27="Submitted"),J$12&gt;Sources!$C$5),4,1)),"")))</x:f>
      </x:c>
      <x:c r="K27" s="35" t="str">
        <x:f>IF(OR($E27="",$F27="Unscheduled"),"",IF($AA27="Either date",IF(OR(K$12=$E27,K$12=$F27),3,""),IF(AND(K$12&gt;=$E27,K$12&lt;=$F27),IF($AA27="Milestone",IF(AND(OR($D27="Complete",$D27="Submitted"),$F27&gt;Sources!$C$5),"T",2),IF(AND(OR($D27="Complete",$D27="Submitted"),K$12&gt;Sources!$C$5),4,1)),"")))</x:f>
      </x:c>
      <x:c r="L27" s="35" t="str">
        <x:f>IF(OR($E27="",$F27="Unscheduled"),"",IF($AA27="Either date",IF(OR(L$12=$E27,L$12=$F27),3,""),IF(AND(L$12&gt;=$E27,L$12&lt;=$F27),IF($AA27="Milestone",IF(AND(OR($D27="Complete",$D27="Submitted"),$F27&gt;Sources!$C$5),"T",2),IF(AND(OR($D27="Complete",$D27="Submitted"),L$12&gt;Sources!$C$5),4,1)),"")))</x:f>
      </x:c>
      <x:c r="M27" s="35" t="str">
        <x:f>IF(OR($E27="",$F27="Unscheduled"),"",IF($AA27="Either date",IF(OR(M$12=$E27,M$12=$F27),3,""),IF(AND(M$12&gt;=$E27,M$12&lt;=$F27),IF($AA27="Milestone",IF(AND(OR($D27="Complete",$D27="Submitted"),$F27&gt;Sources!$C$5),"T",2),IF(AND(OR($D27="Complete",$D27="Submitted"),M$12&gt;Sources!$C$5),4,1)),"")))</x:f>
      </x:c>
      <x:c r="N27" s="35" t="str">
        <x:f>IF(OR($E27="",$F27="Unscheduled"),"",IF($AA27="Either date",IF(OR(N$12=$E27,N$12=$F27),3,""),IF(AND(N$12&gt;=$E27,N$12&lt;=$F27),IF($AA27="Milestone",IF(AND(OR($D27="Complete",$D27="Submitted"),$F27&gt;Sources!$C$5),"T",2),IF(AND(OR($D27="Complete",$D27="Submitted"),N$12&gt;Sources!$C$5),4,1)),"")))</x:f>
      </x:c>
      <x:c r="O27" s="35" t="str">
        <x:f>IF(OR($E27="",$F27="Unscheduled"),"",IF($AA27="Either date",IF(OR(O$12=$E27,O$12=$F27),3,""),IF(AND(O$12&gt;=$E27,O$12&lt;=$F27),IF($AA27="Milestone",IF(AND(OR($D27="Complete",$D27="Submitted"),$F27&gt;Sources!$C$5),"T",2),IF(AND(OR($D27="Complete",$D27="Submitted"),O$12&gt;Sources!$C$5),4,1)),"")))</x:f>
      </x:c>
      <x:c r="P27" s="35" t="str">
        <x:f>IF(OR($E27="",$F27="Unscheduled"),"",IF($AA27="Either date",IF(OR(P$12=$E27,P$12=$F27),3,""),IF(AND(P$12&gt;=$E27,P$12&lt;=$F27),IF($AA27="Milestone",IF(AND(OR($D27="Complete",$D27="Submitted"),$F27&gt;Sources!$C$5),"T",2),IF(AND(OR($D27="Complete",$D27="Submitted"),P$12&gt;Sources!$C$5),4,1)),"")))</x:f>
      </x:c>
      <x:c r="Q27" s="35" t="n">
        <x:f>IF(OR($E27="",$F27="Unscheduled"),"",IF($AA27="Either date",IF(OR(Q$12=$E27,Q$12=$F27),3,""),IF(AND(Q$12&gt;=$E27,Q$12&lt;=$F27),IF($AA27="Milestone",IF(AND(OR($D27="Complete",$D27="Submitted"),$F27&gt;Sources!$C$5),"T",2),IF(AND(OR($D27="Complete",$D27="Submitted"),Q$12&gt;Sources!$C$5),4,1)),"")))</x:f>
        <x:v>1</x:v>
      </x:c>
      <x:c r="R27" s="35" t="n">
        <x:f>IF(OR($E27="",$F27="Unscheduled"),"",IF($AA27="Either date",IF(OR(R$12=$E27,R$12=$F27),3,""),IF(AND(R$12&gt;=$E27,R$12&lt;=$F27),IF($AA27="Milestone",IF(AND(OR($D27="Complete",$D27="Submitted"),$F27&gt;Sources!$C$5),"T",2),IF(AND(OR($D27="Complete",$D27="Submitted"),R$12&gt;Sources!$C$5),4,1)),"")))</x:f>
        <x:v>1</x:v>
      </x:c>
      <x:c r="S27" s="35" t="n">
        <x:f>IF(OR($E27="",$F27="Unscheduled"),"",IF($AA27="Either date",IF(OR(S$12=$E27,S$12=$F27),3,""),IF(AND(S$12&gt;=$E27,S$12&lt;=$F27),IF($AA27="Milestone",IF(AND(OR($D27="Complete",$D27="Submitted"),$F27&gt;Sources!$C$5),"T",2),IF(AND(OR($D27="Complete",$D27="Submitted"),S$12&gt;Sources!$C$5),4,1)),"")))</x:f>
        <x:v>1</x:v>
      </x:c>
      <x:c r="T27" s="35" t="n">
        <x:f>IF(OR($E27="",$F27="Unscheduled"),"",IF($AA27="Either date",IF(OR(T$12=$E27,T$12=$F27),3,""),IF(AND(T$12&gt;=$E27,T$12&lt;=$F27),IF($AA27="Milestone",IF(AND(OR($D27="Complete",$D27="Submitted"),$F27&gt;Sources!$C$5),"T",2),IF(AND(OR($D27="Complete",$D27="Submitted"),T$12&gt;Sources!$C$5),4,1)),"")))</x:f>
        <x:v>1</x:v>
      </x:c>
      <x:c r="U27" s="35" t="n">
        <x:f>IF(OR($E27="",$F27="Unscheduled"),"",IF($AA27="Either date",IF(OR(U$12=$E27,U$12=$F27),3,""),IF(AND(U$12&gt;=$E27,U$12&lt;=$F27),IF($AA27="Milestone",IF(AND(OR($D27="Complete",$D27="Submitted"),$F27&gt;Sources!$C$5),"T",2),IF(AND(OR($D27="Complete",$D27="Submitted"),U$12&gt;Sources!$C$5),4,1)),"")))</x:f>
        <x:v>1</x:v>
      </x:c>
      <x:c r="V27" s="35" t="str">
        <x:f>IF(OR($E27="",$F27="Unscheduled"),"",IF($AA27="Either date",IF(OR(V$12=$E27,V$12=$F27),3,""),IF(AND(V$12&gt;=$E27,V$12&lt;=$F27),IF($AA27="Milestone",IF(AND(OR($D27="Complete",$D27="Submitted"),$F27&gt;Sources!$C$5),"T",2),IF(AND(OR($D27="Complete",$D27="Submitted"),V$12&gt;Sources!$C$5),4,1)),"")))</x:f>
      </x:c>
      <x:c r="W27" s="35" t="str">
        <x:f>IF(OR($E27="",$F27="Unscheduled"),"",IF($AA27="Either date",IF(OR(W$12=$E27,W$12=$F27),3,""),IF(AND(W$12&gt;=$E27,W$12&lt;=$F27),IF($AA27="Milestone",IF(AND(OR($D27="Complete",$D27="Submitted"),$F27&gt;Sources!$C$5),"T",2),IF(AND(OR($D27="Complete",$D27="Submitted"),W$12&gt;Sources!$C$5),4,1)),"")))</x:f>
      </x:c>
      <x:c r="X27" s="35" t="str">
        <x:f>IF(OR($E27="",$F27="Unscheduled"),"",IF($AA27="Either date",IF(OR(X$12=$E27,X$12=$F27),3,""),IF(AND(X$12&gt;=$E27,X$12&lt;=$F27),IF($AA27="Milestone",IF(AND(OR($D27="Complete",$D27="Submitted"),$F27&gt;Sources!$C$5),"T",2),IF(AND(OR($D27="Complete",$D27="Submitted"),X$12&gt;Sources!$C$5),4,1)),"")))</x:f>
      </x:c>
      <x:c r="Y27" s="35" t="str">
        <x:f>IF(OR($E27="",$F27="Unscheduled"),"",IF($AA27="Either date",IF(OR(Y$12=$E27,Y$12=$F27),3,""),IF(AND(Y$12&gt;=$E27,Y$12&lt;=$F27),IF($AA27="Milestone",IF(AND(OR($D27="Complete",$D27="Submitted"),$F27&gt;Sources!$C$5),"T",2),IF(AND(OR($D27="Complete",$D27="Submitted"),Y$12&gt;Sources!$C$5),4,1)),"")))</x:f>
      </x:c>
      <x:c r="Z27" s="2"/>
      <x:c r="AA27" s="2" t="str">
        <x:f>'Full schedule'!I38</x:f>
        <x:v>Window</x:v>
      </x:c>
    </x:row>
    <x:row r="28" ht="44" customHeight="1">
      <x:c r="A28" s="36" t="str">
        <x:f>'Full schedule'!A39</x:f>
        <x:v>I2</x:v>
      </x:c>
      <x:c r="B28" s="37" t="str">
        <x:f>'Full schedule'!B39</x:f>
        <x:v>Prepare the MVP for repeatable tests</x:v>
      </x:c>
      <x:c r="C28" s="37" t="str">
        <x:f>'Full schedule'!C39</x:f>
        <x:v>All four</x:v>
      </x:c>
      <x:c r="D28" s="36" t="str">
        <x:f>IF('Full schedule'!G39="Review","Review dates",'Full schedule'!D39)</x:f>
        <x:v>Planned</x:v>
      </x:c>
      <x:c r="E28" s="44" t="n">
        <x:f>IF('Full schedule'!E39="","",'Full schedule'!E39)</x:f>
        <x:v>46324</x:v>
      </x:c>
      <x:c r="F28" s="44" t="n">
        <x:f>IF('Full schedule'!F39="",IF(OR('Full schedule'!D39="Complete",'Full schedule'!D39="Submitted"),"n.a.","Unscheduled"),'Full schedule'!F39)</x:f>
        <x:v>46328</x:v>
      </x:c>
      <x:c r="G28" s="35" t="str">
        <x:f>IF(OR($E28="",$F28="Unscheduled"),"",IF($AA28="Either date",IF(OR(G$12=$E28,G$12=$F28),3,""),IF(AND(G$12&gt;=$E28,G$12&lt;=$F28),IF($AA28="Milestone",IF(AND(OR($D28="Complete",$D28="Submitted"),$F28&gt;Sources!$C$5),"T",2),IF(AND(OR($D28="Complete",$D28="Submitted"),G$12&gt;Sources!$C$5),4,1)),"")))</x:f>
      </x:c>
      <x:c r="H28" s="35" t="str">
        <x:f>IF(OR($E28="",$F28="Unscheduled"),"",IF($AA28="Either date",IF(OR(H$12=$E28,H$12=$F28),3,""),IF(AND(H$12&gt;=$E28,H$12&lt;=$F28),IF($AA28="Milestone",IF(AND(OR($D28="Complete",$D28="Submitted"),$F28&gt;Sources!$C$5),"T",2),IF(AND(OR($D28="Complete",$D28="Submitted"),H$12&gt;Sources!$C$5),4,1)),"")))</x:f>
      </x:c>
      <x:c r="I28" s="35" t="str">
        <x:f>IF(OR($E28="",$F28="Unscheduled"),"",IF($AA28="Either date",IF(OR(I$12=$E28,I$12=$F28),3,""),IF(AND(I$12&gt;=$E28,I$12&lt;=$F28),IF($AA28="Milestone",IF(AND(OR($D28="Complete",$D28="Submitted"),$F28&gt;Sources!$C$5),"T",2),IF(AND(OR($D28="Complete",$D28="Submitted"),I$12&gt;Sources!$C$5),4,1)),"")))</x:f>
      </x:c>
      <x:c r="J28" s="35" t="str">
        <x:f>IF(OR($E28="",$F28="Unscheduled"),"",IF($AA28="Either date",IF(OR(J$12=$E28,J$12=$F28),3,""),IF(AND(J$12&gt;=$E28,J$12&lt;=$F28),IF($AA28="Milestone",IF(AND(OR($D28="Complete",$D28="Submitted"),$F28&gt;Sources!$C$5),"T",2),IF(AND(OR($D28="Complete",$D28="Submitted"),J$12&gt;Sources!$C$5),4,1)),"")))</x:f>
      </x:c>
      <x:c r="K28" s="35" t="str">
        <x:f>IF(OR($E28="",$F28="Unscheduled"),"",IF($AA28="Either date",IF(OR(K$12=$E28,K$12=$F28),3,""),IF(AND(K$12&gt;=$E28,K$12&lt;=$F28),IF($AA28="Milestone",IF(AND(OR($D28="Complete",$D28="Submitted"),$F28&gt;Sources!$C$5),"T",2),IF(AND(OR($D28="Complete",$D28="Submitted"),K$12&gt;Sources!$C$5),4,1)),"")))</x:f>
      </x:c>
      <x:c r="L28" s="35" t="str">
        <x:f>IF(OR($E28="",$F28="Unscheduled"),"",IF($AA28="Either date",IF(OR(L$12=$E28,L$12=$F28),3,""),IF(AND(L$12&gt;=$E28,L$12&lt;=$F28),IF($AA28="Milestone",IF(AND(OR($D28="Complete",$D28="Submitted"),$F28&gt;Sources!$C$5),"T",2),IF(AND(OR($D28="Complete",$D28="Submitted"),L$12&gt;Sources!$C$5),4,1)),"")))</x:f>
      </x:c>
      <x:c r="M28" s="35" t="str">
        <x:f>IF(OR($E28="",$F28="Unscheduled"),"",IF($AA28="Either date",IF(OR(M$12=$E28,M$12=$F28),3,""),IF(AND(M$12&gt;=$E28,M$12&lt;=$F28),IF($AA28="Milestone",IF(AND(OR($D28="Complete",$D28="Submitted"),$F28&gt;Sources!$C$5),"T",2),IF(AND(OR($D28="Complete",$D28="Submitted"),M$12&gt;Sources!$C$5),4,1)),"")))</x:f>
      </x:c>
      <x:c r="N28" s="35" t="str">
        <x:f>IF(OR($E28="",$F28="Unscheduled"),"",IF($AA28="Either date",IF(OR(N$12=$E28,N$12=$F28),3,""),IF(AND(N$12&gt;=$E28,N$12&lt;=$F28),IF($AA28="Milestone",IF(AND(OR($D28="Complete",$D28="Submitted"),$F28&gt;Sources!$C$5),"T",2),IF(AND(OR($D28="Complete",$D28="Submitted"),N$12&gt;Sources!$C$5),4,1)),"")))</x:f>
      </x:c>
      <x:c r="O28" s="35" t="str">
        <x:f>IF(OR($E28="",$F28="Unscheduled"),"",IF($AA28="Either date",IF(OR(O$12=$E28,O$12=$F28),3,""),IF(AND(O$12&gt;=$E28,O$12&lt;=$F28),IF($AA28="Milestone",IF(AND(OR($D28="Complete",$D28="Submitted"),$F28&gt;Sources!$C$5),"T",2),IF(AND(OR($D28="Complete",$D28="Submitted"),O$12&gt;Sources!$C$5),4,1)),"")))</x:f>
      </x:c>
      <x:c r="P28" s="35" t="str">
        <x:f>IF(OR($E28="",$F28="Unscheduled"),"",IF($AA28="Either date",IF(OR(P$12=$E28,P$12=$F28),3,""),IF(AND(P$12&gt;=$E28,P$12&lt;=$F28),IF($AA28="Milestone",IF(AND(OR($D28="Complete",$D28="Submitted"),$F28&gt;Sources!$C$5),"T",2),IF(AND(OR($D28="Complete",$D28="Submitted"),P$12&gt;Sources!$C$5),4,1)),"")))</x:f>
      </x:c>
      <x:c r="Q28" s="35" t="n">
        <x:f>IF(OR($E28="",$F28="Unscheduled"),"",IF($AA28="Either date",IF(OR(Q$12=$E28,Q$12=$F28),3,""),IF(AND(Q$12&gt;=$E28,Q$12&lt;=$F28),IF($AA28="Milestone",IF(AND(OR($D28="Complete",$D28="Submitted"),$F28&gt;Sources!$C$5),"T",2),IF(AND(OR($D28="Complete",$D28="Submitted"),Q$12&gt;Sources!$C$5),4,1)),"")))</x:f>
        <x:v>1</x:v>
      </x:c>
      <x:c r="R28" s="35" t="n">
        <x:f>IF(OR($E28="",$F28="Unscheduled"),"",IF($AA28="Either date",IF(OR(R$12=$E28,R$12=$F28),3,""),IF(AND(R$12&gt;=$E28,R$12&lt;=$F28),IF($AA28="Milestone",IF(AND(OR($D28="Complete",$D28="Submitted"),$F28&gt;Sources!$C$5),"T",2),IF(AND(OR($D28="Complete",$D28="Submitted"),R$12&gt;Sources!$C$5),4,1)),"")))</x:f>
        <x:v>1</x:v>
      </x:c>
      <x:c r="S28" s="35" t="n">
        <x:f>IF(OR($E28="",$F28="Unscheduled"),"",IF($AA28="Either date",IF(OR(S$12=$E28,S$12=$F28),3,""),IF(AND(S$12&gt;=$E28,S$12&lt;=$F28),IF($AA28="Milestone",IF(AND(OR($D28="Complete",$D28="Submitted"),$F28&gt;Sources!$C$5),"T",2),IF(AND(OR($D28="Complete",$D28="Submitted"),S$12&gt;Sources!$C$5),4,1)),"")))</x:f>
        <x:v>1</x:v>
      </x:c>
      <x:c r="T28" s="35" t="n">
        <x:f>IF(OR($E28="",$F28="Unscheduled"),"",IF($AA28="Either date",IF(OR(T$12=$E28,T$12=$F28),3,""),IF(AND(T$12&gt;=$E28,T$12&lt;=$F28),IF($AA28="Milestone",IF(AND(OR($D28="Complete",$D28="Submitted"),$F28&gt;Sources!$C$5),"T",2),IF(AND(OR($D28="Complete",$D28="Submitted"),T$12&gt;Sources!$C$5),4,1)),"")))</x:f>
        <x:v>1</x:v>
      </x:c>
      <x:c r="U28" s="35" t="n">
        <x:f>IF(OR($E28="",$F28="Unscheduled"),"",IF($AA28="Either date",IF(OR(U$12=$E28,U$12=$F28),3,""),IF(AND(U$12&gt;=$E28,U$12&lt;=$F28),IF($AA28="Milestone",IF(AND(OR($D28="Complete",$D28="Submitted"),$F28&gt;Sources!$C$5),"T",2),IF(AND(OR($D28="Complete",$D28="Submitted"),U$12&gt;Sources!$C$5),4,1)),"")))</x:f>
        <x:v>1</x:v>
      </x:c>
      <x:c r="V28" s="35" t="str">
        <x:f>IF(OR($E28="",$F28="Unscheduled"),"",IF($AA28="Either date",IF(OR(V$12=$E28,V$12=$F28),3,""),IF(AND(V$12&gt;=$E28,V$12&lt;=$F28),IF($AA28="Milestone",IF(AND(OR($D28="Complete",$D28="Submitted"),$F28&gt;Sources!$C$5),"T",2),IF(AND(OR($D28="Complete",$D28="Submitted"),V$12&gt;Sources!$C$5),4,1)),"")))</x:f>
      </x:c>
      <x:c r="W28" s="35" t="str">
        <x:f>IF(OR($E28="",$F28="Unscheduled"),"",IF($AA28="Either date",IF(OR(W$12=$E28,W$12=$F28),3,""),IF(AND(W$12&gt;=$E28,W$12&lt;=$F28),IF($AA28="Milestone",IF(AND(OR($D28="Complete",$D28="Submitted"),$F28&gt;Sources!$C$5),"T",2),IF(AND(OR($D28="Complete",$D28="Submitted"),W$12&gt;Sources!$C$5),4,1)),"")))</x:f>
      </x:c>
      <x:c r="X28" s="35" t="str">
        <x:f>IF(OR($E28="",$F28="Unscheduled"),"",IF($AA28="Either date",IF(OR(X$12=$E28,X$12=$F28),3,""),IF(AND(X$12&gt;=$E28,X$12&lt;=$F28),IF($AA28="Milestone",IF(AND(OR($D28="Complete",$D28="Submitted"),$F28&gt;Sources!$C$5),"T",2),IF(AND(OR($D28="Complete",$D28="Submitted"),X$12&gt;Sources!$C$5),4,1)),"")))</x:f>
      </x:c>
      <x:c r="Y28" s="35" t="str">
        <x:f>IF(OR($E28="",$F28="Unscheduled"),"",IF($AA28="Either date",IF(OR(Y$12=$E28,Y$12=$F28),3,""),IF(AND(Y$12&gt;=$E28,Y$12&lt;=$F28),IF($AA28="Milestone",IF(AND(OR($D28="Complete",$D28="Submitted"),$F28&gt;Sources!$C$5),"T",2),IF(AND(OR($D28="Complete",$D28="Submitted"),Y$12&gt;Sources!$C$5),4,1)),"")))</x:f>
      </x:c>
      <x:c r="Z28" s="2"/>
      <x:c r="AA28" s="2" t="str">
        <x:f>'Full schedule'!I39</x:f>
        <x:v>Window</x:v>
      </x:c>
    </x:row>
    <x:row r="29" ht="44" customHeight="1">
      <x:c r="A29" s="2" t="str">
        <x:f>'Full schedule'!A40</x:f>
        <x:v>I3</x:v>
      </x:c>
      <x:c r="B29" s="18" t="str">
        <x:f>'Full schedule'!B40</x:f>
        <x:v>Record interim MVP progress for the course check-in</x:v>
      </x:c>
      <x:c r="C29" s="18" t="str">
        <x:f>'Full schedule'!C40</x:f>
        <x:v>All four</x:v>
      </x:c>
      <x:c r="D29" s="2" t="str">
        <x:f>IF('Full schedule'!G40="Review","Review dates",'Full schedule'!D40)</x:f>
        <x:v>Planned</x:v>
      </x:c>
      <x:c r="E29" s="43" t="n">
        <x:f>IF('Full schedule'!E40="","",'Full schedule'!E40)</x:f>
        <x:v>46324</x:v>
      </x:c>
      <x:c r="F29" s="43" t="n">
        <x:f>IF('Full schedule'!F40="",IF(OR('Full schedule'!D40="Complete",'Full schedule'!D40="Submitted"),"n.a.","Unscheduled"),'Full schedule'!F40)</x:f>
        <x:v>46325</x:v>
      </x:c>
      <x:c r="G29" s="35" t="str">
        <x:f>IF(OR($E29="",$F29="Unscheduled"),"",IF($AA29="Either date",IF(OR(G$12=$E29,G$12=$F29),3,""),IF(AND(G$12&gt;=$E29,G$12&lt;=$F29),IF($AA29="Milestone",IF(AND(OR($D29="Complete",$D29="Submitted"),$F29&gt;Sources!$C$5),"T",2),IF(AND(OR($D29="Complete",$D29="Submitted"),G$12&gt;Sources!$C$5),4,1)),"")))</x:f>
      </x:c>
      <x:c r="H29" s="35" t="str">
        <x:f>IF(OR($E29="",$F29="Unscheduled"),"",IF($AA29="Either date",IF(OR(H$12=$E29,H$12=$F29),3,""),IF(AND(H$12&gt;=$E29,H$12&lt;=$F29),IF($AA29="Milestone",IF(AND(OR($D29="Complete",$D29="Submitted"),$F29&gt;Sources!$C$5),"T",2),IF(AND(OR($D29="Complete",$D29="Submitted"),H$12&gt;Sources!$C$5),4,1)),"")))</x:f>
      </x:c>
      <x:c r="I29" s="35" t="str">
        <x:f>IF(OR($E29="",$F29="Unscheduled"),"",IF($AA29="Either date",IF(OR(I$12=$E29,I$12=$F29),3,""),IF(AND(I$12&gt;=$E29,I$12&lt;=$F29),IF($AA29="Milestone",IF(AND(OR($D29="Complete",$D29="Submitted"),$F29&gt;Sources!$C$5),"T",2),IF(AND(OR($D29="Complete",$D29="Submitted"),I$12&gt;Sources!$C$5),4,1)),"")))</x:f>
      </x:c>
      <x:c r="J29" s="35" t="str">
        <x:f>IF(OR($E29="",$F29="Unscheduled"),"",IF($AA29="Either date",IF(OR(J$12=$E29,J$12=$F29),3,""),IF(AND(J$12&gt;=$E29,J$12&lt;=$F29),IF($AA29="Milestone",IF(AND(OR($D29="Complete",$D29="Submitted"),$F29&gt;Sources!$C$5),"T",2),IF(AND(OR($D29="Complete",$D29="Submitted"),J$12&gt;Sources!$C$5),4,1)),"")))</x:f>
      </x:c>
      <x:c r="K29" s="35" t="str">
        <x:f>IF(OR($E29="",$F29="Unscheduled"),"",IF($AA29="Either date",IF(OR(K$12=$E29,K$12=$F29),3,""),IF(AND(K$12&gt;=$E29,K$12&lt;=$F29),IF($AA29="Milestone",IF(AND(OR($D29="Complete",$D29="Submitted"),$F29&gt;Sources!$C$5),"T",2),IF(AND(OR($D29="Complete",$D29="Submitted"),K$12&gt;Sources!$C$5),4,1)),"")))</x:f>
      </x:c>
      <x:c r="L29" s="35" t="str">
        <x:f>IF(OR($E29="",$F29="Unscheduled"),"",IF($AA29="Either date",IF(OR(L$12=$E29,L$12=$F29),3,""),IF(AND(L$12&gt;=$E29,L$12&lt;=$F29),IF($AA29="Milestone",IF(AND(OR($D29="Complete",$D29="Submitted"),$F29&gt;Sources!$C$5),"T",2),IF(AND(OR($D29="Complete",$D29="Submitted"),L$12&gt;Sources!$C$5),4,1)),"")))</x:f>
      </x:c>
      <x:c r="M29" s="35" t="str">
        <x:f>IF(OR($E29="",$F29="Unscheduled"),"",IF($AA29="Either date",IF(OR(M$12=$E29,M$12=$F29),3,""),IF(AND(M$12&gt;=$E29,M$12&lt;=$F29),IF($AA29="Milestone",IF(AND(OR($D29="Complete",$D29="Submitted"),$F29&gt;Sources!$C$5),"T",2),IF(AND(OR($D29="Complete",$D29="Submitted"),M$12&gt;Sources!$C$5),4,1)),"")))</x:f>
      </x:c>
      <x:c r="N29" s="35" t="str">
        <x:f>IF(OR($E29="",$F29="Unscheduled"),"",IF($AA29="Either date",IF(OR(N$12=$E29,N$12=$F29),3,""),IF(AND(N$12&gt;=$E29,N$12&lt;=$F29),IF($AA29="Milestone",IF(AND(OR($D29="Complete",$D29="Submitted"),$F29&gt;Sources!$C$5),"T",2),IF(AND(OR($D29="Complete",$D29="Submitted"),N$12&gt;Sources!$C$5),4,1)),"")))</x:f>
      </x:c>
      <x:c r="O29" s="35" t="str">
        <x:f>IF(OR($E29="",$F29="Unscheduled"),"",IF($AA29="Either date",IF(OR(O$12=$E29,O$12=$F29),3,""),IF(AND(O$12&gt;=$E29,O$12&lt;=$F29),IF($AA29="Milestone",IF(AND(OR($D29="Complete",$D29="Submitted"),$F29&gt;Sources!$C$5),"T",2),IF(AND(OR($D29="Complete",$D29="Submitted"),O$12&gt;Sources!$C$5),4,1)),"")))</x:f>
      </x:c>
      <x:c r="P29" s="35" t="str">
        <x:f>IF(OR($E29="",$F29="Unscheduled"),"",IF($AA29="Either date",IF(OR(P$12=$E29,P$12=$F29),3,""),IF(AND(P$12&gt;=$E29,P$12&lt;=$F29),IF($AA29="Milestone",IF(AND(OR($D29="Complete",$D29="Submitted"),$F29&gt;Sources!$C$5),"T",2),IF(AND(OR($D29="Complete",$D29="Submitted"),P$12&gt;Sources!$C$5),4,1)),"")))</x:f>
      </x:c>
      <x:c r="Q29" s="35" t="n">
        <x:f>IF(OR($E29="",$F29="Unscheduled"),"",IF($AA29="Either date",IF(OR(Q$12=$E29,Q$12=$F29),3,""),IF(AND(Q$12&gt;=$E29,Q$12&lt;=$F29),IF($AA29="Milestone",IF(AND(OR($D29="Complete",$D29="Submitted"),$F29&gt;Sources!$C$5),"T",2),IF(AND(OR($D29="Complete",$D29="Submitted"),Q$12&gt;Sources!$C$5),4,1)),"")))</x:f>
        <x:v>1</x:v>
      </x:c>
      <x:c r="R29" s="35" t="n">
        <x:f>IF(OR($E29="",$F29="Unscheduled"),"",IF($AA29="Either date",IF(OR(R$12=$E29,R$12=$F29),3,""),IF(AND(R$12&gt;=$E29,R$12&lt;=$F29),IF($AA29="Milestone",IF(AND(OR($D29="Complete",$D29="Submitted"),$F29&gt;Sources!$C$5),"T",2),IF(AND(OR($D29="Complete",$D29="Submitted"),R$12&gt;Sources!$C$5),4,1)),"")))</x:f>
        <x:v>1</x:v>
      </x:c>
      <x:c r="S29" s="35" t="str">
        <x:f>IF(OR($E29="",$F29="Unscheduled"),"",IF($AA29="Either date",IF(OR(S$12=$E29,S$12=$F29),3,""),IF(AND(S$12&gt;=$E29,S$12&lt;=$F29),IF($AA29="Milestone",IF(AND(OR($D29="Complete",$D29="Submitted"),$F29&gt;Sources!$C$5),"T",2),IF(AND(OR($D29="Complete",$D29="Submitted"),S$12&gt;Sources!$C$5),4,1)),"")))</x:f>
      </x:c>
      <x:c r="T29" s="35" t="str">
        <x:f>IF(OR($E29="",$F29="Unscheduled"),"",IF($AA29="Either date",IF(OR(T$12=$E29,T$12=$F29),3,""),IF(AND(T$12&gt;=$E29,T$12&lt;=$F29),IF($AA29="Milestone",IF(AND(OR($D29="Complete",$D29="Submitted"),$F29&gt;Sources!$C$5),"T",2),IF(AND(OR($D29="Complete",$D29="Submitted"),T$12&gt;Sources!$C$5),4,1)),"")))</x:f>
      </x:c>
      <x:c r="U29" s="35" t="str">
        <x:f>IF(OR($E29="",$F29="Unscheduled"),"",IF($AA29="Either date",IF(OR(U$12=$E29,U$12=$F29),3,""),IF(AND(U$12&gt;=$E29,U$12&lt;=$F29),IF($AA29="Milestone",IF(AND(OR($D29="Complete",$D29="Submitted"),$F29&gt;Sources!$C$5),"T",2),IF(AND(OR($D29="Complete",$D29="Submitted"),U$12&gt;Sources!$C$5),4,1)),"")))</x:f>
      </x:c>
      <x:c r="V29" s="35" t="str">
        <x:f>IF(OR($E29="",$F29="Unscheduled"),"",IF($AA29="Either date",IF(OR(V$12=$E29,V$12=$F29),3,""),IF(AND(V$12&gt;=$E29,V$12&lt;=$F29),IF($AA29="Milestone",IF(AND(OR($D29="Complete",$D29="Submitted"),$F29&gt;Sources!$C$5),"T",2),IF(AND(OR($D29="Complete",$D29="Submitted"),V$12&gt;Sources!$C$5),4,1)),"")))</x:f>
      </x:c>
      <x:c r="W29" s="35" t="str">
        <x:f>IF(OR($E29="",$F29="Unscheduled"),"",IF($AA29="Either date",IF(OR(W$12=$E29,W$12=$F29),3,""),IF(AND(W$12&gt;=$E29,W$12&lt;=$F29),IF($AA29="Milestone",IF(AND(OR($D29="Complete",$D29="Submitted"),$F29&gt;Sources!$C$5),"T",2),IF(AND(OR($D29="Complete",$D29="Submitted"),W$12&gt;Sources!$C$5),4,1)),"")))</x:f>
      </x:c>
      <x:c r="X29" s="35" t="str">
        <x:f>IF(OR($E29="",$F29="Unscheduled"),"",IF($AA29="Either date",IF(OR(X$12=$E29,X$12=$F29),3,""),IF(AND(X$12&gt;=$E29,X$12&lt;=$F29),IF($AA29="Milestone",IF(AND(OR($D29="Complete",$D29="Submitted"),$F29&gt;Sources!$C$5),"T",2),IF(AND(OR($D29="Complete",$D29="Submitted"),X$12&gt;Sources!$C$5),4,1)),"")))</x:f>
      </x:c>
      <x:c r="Y29" s="35" t="str">
        <x:f>IF(OR($E29="",$F29="Unscheduled"),"",IF($AA29="Either date",IF(OR(Y$12=$E29,Y$12=$F29),3,""),IF(AND(Y$12&gt;=$E29,Y$12&lt;=$F29),IF($AA29="Milestone",IF(AND(OR($D29="Complete",$D29="Submitted"),$F29&gt;Sources!$C$5),"T",2),IF(AND(OR($D29="Complete",$D29="Submitted"),Y$12&gt;Sources!$C$5),4,1)),"")))</x:f>
      </x:c>
      <x:c r="Z29" s="2"/>
      <x:c r="AA29" s="2" t="str">
        <x:f>'Full schedule'!I40</x:f>
        <x:v>Window</x:v>
      </x:c>
    </x:row>
    <x:row r="30" ht="44" customHeight="1">
      <x:c r="A30" s="36" t="str">
        <x:f>'Full schedule'!A92</x:f>
        <x:v>C14</x:v>
      </x:c>
      <x:c r="B30" s="37" t="str">
        <x:f>'Full schedule'!B92</x:f>
        <x:v>Week 10 MVP progress check-in</x:v>
      </x:c>
      <x:c r="C30" s="37" t="str">
        <x:f>'Full schedule'!C92</x:f>
        <x:v>All four</x:v>
      </x:c>
      <x:c r="D30" s="36" t="str">
        <x:f>IF('Full schedule'!G92="Review","Review dates",'Full schedule'!D92)</x:f>
        <x:v>Planned</x:v>
      </x:c>
      <x:c r="E30" s="44" t="n">
        <x:f>IF('Full schedule'!E92="","",'Full schedule'!E92)</x:f>
        <x:v>46325</x:v>
      </x:c>
      <x:c r="F30" s="44" t="n">
        <x:f>IF('Full schedule'!F92="",IF(OR('Full schedule'!D92="Complete",'Full schedule'!D92="Submitted"),"n.a.","Unscheduled"),'Full schedule'!F92)</x:f>
        <x:v>46325</x:v>
      </x:c>
      <x:c r="G30" s="35" t="str">
        <x:f>IF(OR($E30="",$F30="Unscheduled"),"",IF($AA30="Either date",IF(OR(G$12=$E30,G$12=$F30),3,""),IF(AND(G$12&gt;=$E30,G$12&lt;=$F30),IF($AA30="Milestone",IF(AND(OR($D30="Complete",$D30="Submitted"),$F30&gt;Sources!$C$5),"T",2),IF(AND(OR($D30="Complete",$D30="Submitted"),G$12&gt;Sources!$C$5),4,1)),"")))</x:f>
      </x:c>
      <x:c r="H30" s="35" t="str">
        <x:f>IF(OR($E30="",$F30="Unscheduled"),"",IF($AA30="Either date",IF(OR(H$12=$E30,H$12=$F30),3,""),IF(AND(H$12&gt;=$E30,H$12&lt;=$F30),IF($AA30="Milestone",IF(AND(OR($D30="Complete",$D30="Submitted"),$F30&gt;Sources!$C$5),"T",2),IF(AND(OR($D30="Complete",$D30="Submitted"),H$12&gt;Sources!$C$5),4,1)),"")))</x:f>
      </x:c>
      <x:c r="I30" s="35" t="str">
        <x:f>IF(OR($E30="",$F30="Unscheduled"),"",IF($AA30="Either date",IF(OR(I$12=$E30,I$12=$F30),3,""),IF(AND(I$12&gt;=$E30,I$12&lt;=$F30),IF($AA30="Milestone",IF(AND(OR($D30="Complete",$D30="Submitted"),$F30&gt;Sources!$C$5),"T",2),IF(AND(OR($D30="Complete",$D30="Submitted"),I$12&gt;Sources!$C$5),4,1)),"")))</x:f>
      </x:c>
      <x:c r="J30" s="35" t="str">
        <x:f>IF(OR($E30="",$F30="Unscheduled"),"",IF($AA30="Either date",IF(OR(J$12=$E30,J$12=$F30),3,""),IF(AND(J$12&gt;=$E30,J$12&lt;=$F30),IF($AA30="Milestone",IF(AND(OR($D30="Complete",$D30="Submitted"),$F30&gt;Sources!$C$5),"T",2),IF(AND(OR($D30="Complete",$D30="Submitted"),J$12&gt;Sources!$C$5),4,1)),"")))</x:f>
      </x:c>
      <x:c r="K30" s="35" t="str">
        <x:f>IF(OR($E30="",$F30="Unscheduled"),"",IF($AA30="Either date",IF(OR(K$12=$E30,K$12=$F30),3,""),IF(AND(K$12&gt;=$E30,K$12&lt;=$F30),IF($AA30="Milestone",IF(AND(OR($D30="Complete",$D30="Submitted"),$F30&gt;Sources!$C$5),"T",2),IF(AND(OR($D30="Complete",$D30="Submitted"),K$12&gt;Sources!$C$5),4,1)),"")))</x:f>
      </x:c>
      <x:c r="L30" s="35" t="str">
        <x:f>IF(OR($E30="",$F30="Unscheduled"),"",IF($AA30="Either date",IF(OR(L$12=$E30,L$12=$F30),3,""),IF(AND(L$12&gt;=$E30,L$12&lt;=$F30),IF($AA30="Milestone",IF(AND(OR($D30="Complete",$D30="Submitted"),$F30&gt;Sources!$C$5),"T",2),IF(AND(OR($D30="Complete",$D30="Submitted"),L$12&gt;Sources!$C$5),4,1)),"")))</x:f>
      </x:c>
      <x:c r="M30" s="35" t="str">
        <x:f>IF(OR($E30="",$F30="Unscheduled"),"",IF($AA30="Either date",IF(OR(M$12=$E30,M$12=$F30),3,""),IF(AND(M$12&gt;=$E30,M$12&lt;=$F30),IF($AA30="Milestone",IF(AND(OR($D30="Complete",$D30="Submitted"),$F30&gt;Sources!$C$5),"T",2),IF(AND(OR($D30="Complete",$D30="Submitted"),M$12&gt;Sources!$C$5),4,1)),"")))</x:f>
      </x:c>
      <x:c r="N30" s="35" t="str">
        <x:f>IF(OR($E30="",$F30="Unscheduled"),"",IF($AA30="Either date",IF(OR(N$12=$E30,N$12=$F30),3,""),IF(AND(N$12&gt;=$E30,N$12&lt;=$F30),IF($AA30="Milestone",IF(AND(OR($D30="Complete",$D30="Submitted"),$F30&gt;Sources!$C$5),"T",2),IF(AND(OR($D30="Complete",$D30="Submitted"),N$12&gt;Sources!$C$5),4,1)),"")))</x:f>
      </x:c>
      <x:c r="O30" s="35" t="str">
        <x:f>IF(OR($E30="",$F30="Unscheduled"),"",IF($AA30="Either date",IF(OR(O$12=$E30,O$12=$F30),3,""),IF(AND(O$12&gt;=$E30,O$12&lt;=$F30),IF($AA30="Milestone",IF(AND(OR($D30="Complete",$D30="Submitted"),$F30&gt;Sources!$C$5),"T",2),IF(AND(OR($D30="Complete",$D30="Submitted"),O$12&gt;Sources!$C$5),4,1)),"")))</x:f>
      </x:c>
      <x:c r="P30" s="35" t="str">
        <x:f>IF(OR($E30="",$F30="Unscheduled"),"",IF($AA30="Either date",IF(OR(P$12=$E30,P$12=$F30),3,""),IF(AND(P$12&gt;=$E30,P$12&lt;=$F30),IF($AA30="Milestone",IF(AND(OR($D30="Complete",$D30="Submitted"),$F30&gt;Sources!$C$5),"T",2),IF(AND(OR($D30="Complete",$D30="Submitted"),P$12&gt;Sources!$C$5),4,1)),"")))</x:f>
      </x:c>
      <x:c r="Q30" s="35" t="str">
        <x:f>IF(OR($E30="",$F30="Unscheduled"),"",IF($AA30="Either date",IF(OR(Q$12=$E30,Q$12=$F30),3,""),IF(AND(Q$12&gt;=$E30,Q$12&lt;=$F30),IF($AA30="Milestone",IF(AND(OR($D30="Complete",$D30="Submitted"),$F30&gt;Sources!$C$5),"T",2),IF(AND(OR($D30="Complete",$D30="Submitted"),Q$12&gt;Sources!$C$5),4,1)),"")))</x:f>
      </x:c>
      <x:c r="R30" s="35" t="n">
        <x:f>IF(OR($E30="",$F30="Unscheduled"),"",IF($AA30="Either date",IF(OR(R$12=$E30,R$12=$F30),3,""),IF(AND(R$12&gt;=$E30,R$12&lt;=$F30),IF($AA30="Milestone",IF(AND(OR($D30="Complete",$D30="Submitted"),$F30&gt;Sources!$C$5),"T",2),IF(AND(OR($D30="Complete",$D30="Submitted"),R$12&gt;Sources!$C$5),4,1)),"")))</x:f>
        <x:v>2</x:v>
      </x:c>
      <x:c r="S30" s="35" t="str">
        <x:f>IF(OR($E30="",$F30="Unscheduled"),"",IF($AA30="Either date",IF(OR(S$12=$E30,S$12=$F30),3,""),IF(AND(S$12&gt;=$E30,S$12&lt;=$F30),IF($AA30="Milestone",IF(AND(OR($D30="Complete",$D30="Submitted"),$F30&gt;Sources!$C$5),"T",2),IF(AND(OR($D30="Complete",$D30="Submitted"),S$12&gt;Sources!$C$5),4,1)),"")))</x:f>
      </x:c>
      <x:c r="T30" s="35" t="str">
        <x:f>IF(OR($E30="",$F30="Unscheduled"),"",IF($AA30="Either date",IF(OR(T$12=$E30,T$12=$F30),3,""),IF(AND(T$12&gt;=$E30,T$12&lt;=$F30),IF($AA30="Milestone",IF(AND(OR($D30="Complete",$D30="Submitted"),$F30&gt;Sources!$C$5),"T",2),IF(AND(OR($D30="Complete",$D30="Submitted"),T$12&gt;Sources!$C$5),4,1)),"")))</x:f>
      </x:c>
      <x:c r="U30" s="35" t="str">
        <x:f>IF(OR($E30="",$F30="Unscheduled"),"",IF($AA30="Either date",IF(OR(U$12=$E30,U$12=$F30),3,""),IF(AND(U$12&gt;=$E30,U$12&lt;=$F30),IF($AA30="Milestone",IF(AND(OR($D30="Complete",$D30="Submitted"),$F30&gt;Sources!$C$5),"T",2),IF(AND(OR($D30="Complete",$D30="Submitted"),U$12&gt;Sources!$C$5),4,1)),"")))</x:f>
      </x:c>
      <x:c r="V30" s="35" t="str">
        <x:f>IF(OR($E30="",$F30="Unscheduled"),"",IF($AA30="Either date",IF(OR(V$12=$E30,V$12=$F30),3,""),IF(AND(V$12&gt;=$E30,V$12&lt;=$F30),IF($AA30="Milestone",IF(AND(OR($D30="Complete",$D30="Submitted"),$F30&gt;Sources!$C$5),"T",2),IF(AND(OR($D30="Complete",$D30="Submitted"),V$12&gt;Sources!$C$5),4,1)),"")))</x:f>
      </x:c>
      <x:c r="W30" s="35" t="str">
        <x:f>IF(OR($E30="",$F30="Unscheduled"),"",IF($AA30="Either date",IF(OR(W$12=$E30,W$12=$F30),3,""),IF(AND(W$12&gt;=$E30,W$12&lt;=$F30),IF($AA30="Milestone",IF(AND(OR($D30="Complete",$D30="Submitted"),$F30&gt;Sources!$C$5),"T",2),IF(AND(OR($D30="Complete",$D30="Submitted"),W$12&gt;Sources!$C$5),4,1)),"")))</x:f>
      </x:c>
      <x:c r="X30" s="35" t="str">
        <x:f>IF(OR($E30="",$F30="Unscheduled"),"",IF($AA30="Either date",IF(OR(X$12=$E30,X$12=$F30),3,""),IF(AND(X$12&gt;=$E30,X$12&lt;=$F30),IF($AA30="Milestone",IF(AND(OR($D30="Complete",$D30="Submitted"),$F30&gt;Sources!$C$5),"T",2),IF(AND(OR($D30="Complete",$D30="Submitted"),X$12&gt;Sources!$C$5),4,1)),"")))</x:f>
      </x:c>
      <x:c r="Y30" s="35" t="str">
        <x:f>IF(OR($E30="",$F30="Unscheduled"),"",IF($AA30="Either date",IF(OR(Y$12=$E30,Y$12=$F30),3,""),IF(AND(Y$12&gt;=$E30,Y$12&lt;=$F30),IF($AA30="Milestone",IF(AND(OR($D30="Complete",$D30="Submitted"),$F30&gt;Sources!$C$5),"T",2),IF(AND(OR($D30="Complete",$D30="Submitted"),Y$12&gt;Sources!$C$5),4,1)),"")))</x:f>
      </x:c>
      <x:c r="Z30" s="2"/>
      <x:c r="AA30" s="2" t="str">
        <x:f>'Full schedule'!I92</x:f>
        <x:v>Milestone</x:v>
      </x:c>
    </x:row>
    <x:row r="31" ht="44" customHeight="1">
      <x:c r="A31" s="2" t="str">
        <x:f>'Full schedule'!A41</x:f>
        <x:v>I4</x:v>
      </x:c>
      <x:c r="B31" s="18" t="str">
        <x:f>'Full schedule'!B41</x:f>
        <x:v>Prepare final MVP evidence, short description and roles</x:v>
      </x:c>
      <x:c r="C31" s="18" t="str">
        <x:f>'Full schedule'!C41</x:f>
        <x:v>All four</x:v>
      </x:c>
      <x:c r="D31" s="2" t="str">
        <x:f>IF('Full schedule'!G41="Review","Review dates",'Full schedule'!D41)</x:f>
        <x:v>Planned</x:v>
      </x:c>
      <x:c r="E31" s="43" t="n">
        <x:f>IF('Full schedule'!E41="","",'Full schedule'!E41)</x:f>
        <x:v>46324</x:v>
      </x:c>
      <x:c r="F31" s="43" t="n">
        <x:f>IF('Full schedule'!F41="",IF(OR('Full schedule'!D41="Complete",'Full schedule'!D41="Submitted"),"n.a.","Unscheduled"),'Full schedule'!F41)</x:f>
        <x:v>46328</x:v>
      </x:c>
      <x:c r="G31" s="35" t="str">
        <x:f>IF(OR($E31="",$F31="Unscheduled"),"",IF($AA31="Either date",IF(OR(G$12=$E31,G$12=$F31),3,""),IF(AND(G$12&gt;=$E31,G$12&lt;=$F31),IF($AA31="Milestone",IF(AND(OR($D31="Complete",$D31="Submitted"),$F31&gt;Sources!$C$5),"T",2),IF(AND(OR($D31="Complete",$D31="Submitted"),G$12&gt;Sources!$C$5),4,1)),"")))</x:f>
      </x:c>
      <x:c r="H31" s="35" t="str">
        <x:f>IF(OR($E31="",$F31="Unscheduled"),"",IF($AA31="Either date",IF(OR(H$12=$E31,H$12=$F31),3,""),IF(AND(H$12&gt;=$E31,H$12&lt;=$F31),IF($AA31="Milestone",IF(AND(OR($D31="Complete",$D31="Submitted"),$F31&gt;Sources!$C$5),"T",2),IF(AND(OR($D31="Complete",$D31="Submitted"),H$12&gt;Sources!$C$5),4,1)),"")))</x:f>
      </x:c>
      <x:c r="I31" s="35" t="str">
        <x:f>IF(OR($E31="",$F31="Unscheduled"),"",IF($AA31="Either date",IF(OR(I$12=$E31,I$12=$F31),3,""),IF(AND(I$12&gt;=$E31,I$12&lt;=$F31),IF($AA31="Milestone",IF(AND(OR($D31="Complete",$D31="Submitted"),$F31&gt;Sources!$C$5),"T",2),IF(AND(OR($D31="Complete",$D31="Submitted"),I$12&gt;Sources!$C$5),4,1)),"")))</x:f>
      </x:c>
      <x:c r="J31" s="35" t="str">
        <x:f>IF(OR($E31="",$F31="Unscheduled"),"",IF($AA31="Either date",IF(OR(J$12=$E31,J$12=$F31),3,""),IF(AND(J$12&gt;=$E31,J$12&lt;=$F31),IF($AA31="Milestone",IF(AND(OR($D31="Complete",$D31="Submitted"),$F31&gt;Sources!$C$5),"T",2),IF(AND(OR($D31="Complete",$D31="Submitted"),J$12&gt;Sources!$C$5),4,1)),"")))</x:f>
      </x:c>
      <x:c r="K31" s="35" t="str">
        <x:f>IF(OR($E31="",$F31="Unscheduled"),"",IF($AA31="Either date",IF(OR(K$12=$E31,K$12=$F31),3,""),IF(AND(K$12&gt;=$E31,K$12&lt;=$F31),IF($AA31="Milestone",IF(AND(OR($D31="Complete",$D31="Submitted"),$F31&gt;Sources!$C$5),"T",2),IF(AND(OR($D31="Complete",$D31="Submitted"),K$12&gt;Sources!$C$5),4,1)),"")))</x:f>
      </x:c>
      <x:c r="L31" s="35" t="str">
        <x:f>IF(OR($E31="",$F31="Unscheduled"),"",IF($AA31="Either date",IF(OR(L$12=$E31,L$12=$F31),3,""),IF(AND(L$12&gt;=$E31,L$12&lt;=$F31),IF($AA31="Milestone",IF(AND(OR($D31="Complete",$D31="Submitted"),$F31&gt;Sources!$C$5),"T",2),IF(AND(OR($D31="Complete",$D31="Submitted"),L$12&gt;Sources!$C$5),4,1)),"")))</x:f>
      </x:c>
      <x:c r="M31" s="35" t="str">
        <x:f>IF(OR($E31="",$F31="Unscheduled"),"",IF($AA31="Either date",IF(OR(M$12=$E31,M$12=$F31),3,""),IF(AND(M$12&gt;=$E31,M$12&lt;=$F31),IF($AA31="Milestone",IF(AND(OR($D31="Complete",$D31="Submitted"),$F31&gt;Sources!$C$5),"T",2),IF(AND(OR($D31="Complete",$D31="Submitted"),M$12&gt;Sources!$C$5),4,1)),"")))</x:f>
      </x:c>
      <x:c r="N31" s="35" t="str">
        <x:f>IF(OR($E31="",$F31="Unscheduled"),"",IF($AA31="Either date",IF(OR(N$12=$E31,N$12=$F31),3,""),IF(AND(N$12&gt;=$E31,N$12&lt;=$F31),IF($AA31="Milestone",IF(AND(OR($D31="Complete",$D31="Submitted"),$F31&gt;Sources!$C$5),"T",2),IF(AND(OR($D31="Complete",$D31="Submitted"),N$12&gt;Sources!$C$5),4,1)),"")))</x:f>
      </x:c>
      <x:c r="O31" s="35" t="str">
        <x:f>IF(OR($E31="",$F31="Unscheduled"),"",IF($AA31="Either date",IF(OR(O$12=$E31,O$12=$F31),3,""),IF(AND(O$12&gt;=$E31,O$12&lt;=$F31),IF($AA31="Milestone",IF(AND(OR($D31="Complete",$D31="Submitted"),$F31&gt;Sources!$C$5),"T",2),IF(AND(OR($D31="Complete",$D31="Submitted"),O$12&gt;Sources!$C$5),4,1)),"")))</x:f>
      </x:c>
      <x:c r="P31" s="35" t="str">
        <x:f>IF(OR($E31="",$F31="Unscheduled"),"",IF($AA31="Either date",IF(OR(P$12=$E31,P$12=$F31),3,""),IF(AND(P$12&gt;=$E31,P$12&lt;=$F31),IF($AA31="Milestone",IF(AND(OR($D31="Complete",$D31="Submitted"),$F31&gt;Sources!$C$5),"T",2),IF(AND(OR($D31="Complete",$D31="Submitted"),P$12&gt;Sources!$C$5),4,1)),"")))</x:f>
      </x:c>
      <x:c r="Q31" s="35" t="n">
        <x:f>IF(OR($E31="",$F31="Unscheduled"),"",IF($AA31="Either date",IF(OR(Q$12=$E31,Q$12=$F31),3,""),IF(AND(Q$12&gt;=$E31,Q$12&lt;=$F31),IF($AA31="Milestone",IF(AND(OR($D31="Complete",$D31="Submitted"),$F31&gt;Sources!$C$5),"T",2),IF(AND(OR($D31="Complete",$D31="Submitted"),Q$12&gt;Sources!$C$5),4,1)),"")))</x:f>
        <x:v>1</x:v>
      </x:c>
      <x:c r="R31" s="35" t="n">
        <x:f>IF(OR($E31="",$F31="Unscheduled"),"",IF($AA31="Either date",IF(OR(R$12=$E31,R$12=$F31),3,""),IF(AND(R$12&gt;=$E31,R$12&lt;=$F31),IF($AA31="Milestone",IF(AND(OR($D31="Complete",$D31="Submitted"),$F31&gt;Sources!$C$5),"T",2),IF(AND(OR($D31="Complete",$D31="Submitted"),R$12&gt;Sources!$C$5),4,1)),"")))</x:f>
        <x:v>1</x:v>
      </x:c>
      <x:c r="S31" s="35" t="n">
        <x:f>IF(OR($E31="",$F31="Unscheduled"),"",IF($AA31="Either date",IF(OR(S$12=$E31,S$12=$F31),3,""),IF(AND(S$12&gt;=$E31,S$12&lt;=$F31),IF($AA31="Milestone",IF(AND(OR($D31="Complete",$D31="Submitted"),$F31&gt;Sources!$C$5),"T",2),IF(AND(OR($D31="Complete",$D31="Submitted"),S$12&gt;Sources!$C$5),4,1)),"")))</x:f>
        <x:v>1</x:v>
      </x:c>
      <x:c r="T31" s="35" t="n">
        <x:f>IF(OR($E31="",$F31="Unscheduled"),"",IF($AA31="Either date",IF(OR(T$12=$E31,T$12=$F31),3,""),IF(AND(T$12&gt;=$E31,T$12&lt;=$F31),IF($AA31="Milestone",IF(AND(OR($D31="Complete",$D31="Submitted"),$F31&gt;Sources!$C$5),"T",2),IF(AND(OR($D31="Complete",$D31="Submitted"),T$12&gt;Sources!$C$5),4,1)),"")))</x:f>
        <x:v>1</x:v>
      </x:c>
      <x:c r="U31" s="35" t="n">
        <x:f>IF(OR($E31="",$F31="Unscheduled"),"",IF($AA31="Either date",IF(OR(U$12=$E31,U$12=$F31),3,""),IF(AND(U$12&gt;=$E31,U$12&lt;=$F31),IF($AA31="Milestone",IF(AND(OR($D31="Complete",$D31="Submitted"),$F31&gt;Sources!$C$5),"T",2),IF(AND(OR($D31="Complete",$D31="Submitted"),U$12&gt;Sources!$C$5),4,1)),"")))</x:f>
        <x:v>1</x:v>
      </x:c>
      <x:c r="V31" s="35" t="str">
        <x:f>IF(OR($E31="",$F31="Unscheduled"),"",IF($AA31="Either date",IF(OR(V$12=$E31,V$12=$F31),3,""),IF(AND(V$12&gt;=$E31,V$12&lt;=$F31),IF($AA31="Milestone",IF(AND(OR($D31="Complete",$D31="Submitted"),$F31&gt;Sources!$C$5),"T",2),IF(AND(OR($D31="Complete",$D31="Submitted"),V$12&gt;Sources!$C$5),4,1)),"")))</x:f>
      </x:c>
      <x:c r="W31" s="35" t="str">
        <x:f>IF(OR($E31="",$F31="Unscheduled"),"",IF($AA31="Either date",IF(OR(W$12=$E31,W$12=$F31),3,""),IF(AND(W$12&gt;=$E31,W$12&lt;=$F31),IF($AA31="Milestone",IF(AND(OR($D31="Complete",$D31="Submitted"),$F31&gt;Sources!$C$5),"T",2),IF(AND(OR($D31="Complete",$D31="Submitted"),W$12&gt;Sources!$C$5),4,1)),"")))</x:f>
      </x:c>
      <x:c r="X31" s="35" t="str">
        <x:f>IF(OR($E31="",$F31="Unscheduled"),"",IF($AA31="Either date",IF(OR(X$12=$E31,X$12=$F31),3,""),IF(AND(X$12&gt;=$E31,X$12&lt;=$F31),IF($AA31="Milestone",IF(AND(OR($D31="Complete",$D31="Submitted"),$F31&gt;Sources!$C$5),"T",2),IF(AND(OR($D31="Complete",$D31="Submitted"),X$12&gt;Sources!$C$5),4,1)),"")))</x:f>
      </x:c>
      <x:c r="Y31" s="35" t="str">
        <x:f>IF(OR($E31="",$F31="Unscheduled"),"",IF($AA31="Either date",IF(OR(Y$12=$E31,Y$12=$F31),3,""),IF(AND(Y$12&gt;=$E31,Y$12&lt;=$F31),IF($AA31="Milestone",IF(AND(OR($D31="Complete",$D31="Submitted"),$F31&gt;Sources!$C$5),"T",2),IF(AND(OR($D31="Complete",$D31="Submitted"),Y$12&gt;Sources!$C$5),4,1)),"")))</x:f>
      </x:c>
      <x:c r="Z31" s="2"/>
      <x:c r="AA31" s="2" t="str">
        <x:f>'Full schedule'!I41</x:f>
        <x:v>Window</x:v>
      </x:c>
    </x:row>
    <x:row r="32" ht="44" customHeight="1">
      <x:c r="A32" s="36" t="str">
        <x:f>'Full schedule'!A42</x:f>
        <x:v>M4</x:v>
      </x:c>
      <x:c r="B32" s="37" t="str">
        <x:f>'Full schedule'!B42</x:f>
        <x:v>Improved MVP ready for submission</x:v>
      </x:c>
      <x:c r="C32" s="37" t="str">
        <x:f>'Full schedule'!C42</x:f>
        <x:v>All four</x:v>
      </x:c>
      <x:c r="D32" s="36" t="str">
        <x:f>IF('Full schedule'!G42="Review","Review dates",'Full schedule'!D42)</x:f>
        <x:v>Planned</x:v>
      </x:c>
      <x:c r="E32" s="44" t="n">
        <x:f>IF('Full schedule'!E42="","",'Full schedule'!E42)</x:f>
        <x:v>46328</x:v>
      </x:c>
      <x:c r="F32" s="44" t="n">
        <x:f>IF('Full schedule'!F42="",IF(OR('Full schedule'!D42="Complete",'Full schedule'!D42="Submitted"),"n.a.","Unscheduled"),'Full schedule'!F42)</x:f>
        <x:v>46328</x:v>
      </x:c>
      <x:c r="G32" s="35" t="str">
        <x:f>IF(OR($E32="",$F32="Unscheduled"),"",IF($AA32="Either date",IF(OR(G$12=$E32,G$12=$F32),3,""),IF(AND(G$12&gt;=$E32,G$12&lt;=$F32),IF($AA32="Milestone",IF(AND(OR($D32="Complete",$D32="Submitted"),$F32&gt;Sources!$C$5),"T",2),IF(AND(OR($D32="Complete",$D32="Submitted"),G$12&gt;Sources!$C$5),4,1)),"")))</x:f>
      </x:c>
      <x:c r="H32" s="35" t="str">
        <x:f>IF(OR($E32="",$F32="Unscheduled"),"",IF($AA32="Either date",IF(OR(H$12=$E32,H$12=$F32),3,""),IF(AND(H$12&gt;=$E32,H$12&lt;=$F32),IF($AA32="Milestone",IF(AND(OR($D32="Complete",$D32="Submitted"),$F32&gt;Sources!$C$5),"T",2),IF(AND(OR($D32="Complete",$D32="Submitted"),H$12&gt;Sources!$C$5),4,1)),"")))</x:f>
      </x:c>
      <x:c r="I32" s="35" t="str">
        <x:f>IF(OR($E32="",$F32="Unscheduled"),"",IF($AA32="Either date",IF(OR(I$12=$E32,I$12=$F32),3,""),IF(AND(I$12&gt;=$E32,I$12&lt;=$F32),IF($AA32="Milestone",IF(AND(OR($D32="Complete",$D32="Submitted"),$F32&gt;Sources!$C$5),"T",2),IF(AND(OR($D32="Complete",$D32="Submitted"),I$12&gt;Sources!$C$5),4,1)),"")))</x:f>
      </x:c>
      <x:c r="J32" s="35" t="str">
        <x:f>IF(OR($E32="",$F32="Unscheduled"),"",IF($AA32="Either date",IF(OR(J$12=$E32,J$12=$F32),3,""),IF(AND(J$12&gt;=$E32,J$12&lt;=$F32),IF($AA32="Milestone",IF(AND(OR($D32="Complete",$D32="Submitted"),$F32&gt;Sources!$C$5),"T",2),IF(AND(OR($D32="Complete",$D32="Submitted"),J$12&gt;Sources!$C$5),4,1)),"")))</x:f>
      </x:c>
      <x:c r="K32" s="35" t="str">
        <x:f>IF(OR($E32="",$F32="Unscheduled"),"",IF($AA32="Either date",IF(OR(K$12=$E32,K$12=$F32),3,""),IF(AND(K$12&gt;=$E32,K$12&lt;=$F32),IF($AA32="Milestone",IF(AND(OR($D32="Complete",$D32="Submitted"),$F32&gt;Sources!$C$5),"T",2),IF(AND(OR($D32="Complete",$D32="Submitted"),K$12&gt;Sources!$C$5),4,1)),"")))</x:f>
      </x:c>
      <x:c r="L32" s="35" t="str">
        <x:f>IF(OR($E32="",$F32="Unscheduled"),"",IF($AA32="Either date",IF(OR(L$12=$E32,L$12=$F32),3,""),IF(AND(L$12&gt;=$E32,L$12&lt;=$F32),IF($AA32="Milestone",IF(AND(OR($D32="Complete",$D32="Submitted"),$F32&gt;Sources!$C$5),"T",2),IF(AND(OR($D32="Complete",$D32="Submitted"),L$12&gt;Sources!$C$5),4,1)),"")))</x:f>
      </x:c>
      <x:c r="M32" s="35" t="str">
        <x:f>IF(OR($E32="",$F32="Unscheduled"),"",IF($AA32="Either date",IF(OR(M$12=$E32,M$12=$F32),3,""),IF(AND(M$12&gt;=$E32,M$12&lt;=$F32),IF($AA32="Milestone",IF(AND(OR($D32="Complete",$D32="Submitted"),$F32&gt;Sources!$C$5),"T",2),IF(AND(OR($D32="Complete",$D32="Submitted"),M$12&gt;Sources!$C$5),4,1)),"")))</x:f>
      </x:c>
      <x:c r="N32" s="35" t="str">
        <x:f>IF(OR($E32="",$F32="Unscheduled"),"",IF($AA32="Either date",IF(OR(N$12=$E32,N$12=$F32),3,""),IF(AND(N$12&gt;=$E32,N$12&lt;=$F32),IF($AA32="Milestone",IF(AND(OR($D32="Complete",$D32="Submitted"),$F32&gt;Sources!$C$5),"T",2),IF(AND(OR($D32="Complete",$D32="Submitted"),N$12&gt;Sources!$C$5),4,1)),"")))</x:f>
      </x:c>
      <x:c r="O32" s="35" t="str">
        <x:f>IF(OR($E32="",$F32="Unscheduled"),"",IF($AA32="Either date",IF(OR(O$12=$E32,O$12=$F32),3,""),IF(AND(O$12&gt;=$E32,O$12&lt;=$F32),IF($AA32="Milestone",IF(AND(OR($D32="Complete",$D32="Submitted"),$F32&gt;Sources!$C$5),"T",2),IF(AND(OR($D32="Complete",$D32="Submitted"),O$12&gt;Sources!$C$5),4,1)),"")))</x:f>
      </x:c>
      <x:c r="P32" s="35" t="str">
        <x:f>IF(OR($E32="",$F32="Unscheduled"),"",IF($AA32="Either date",IF(OR(P$12=$E32,P$12=$F32),3,""),IF(AND(P$12&gt;=$E32,P$12&lt;=$F32),IF($AA32="Milestone",IF(AND(OR($D32="Complete",$D32="Submitted"),$F32&gt;Sources!$C$5),"T",2),IF(AND(OR($D32="Complete",$D32="Submitted"),P$12&gt;Sources!$C$5),4,1)),"")))</x:f>
      </x:c>
      <x:c r="Q32" s="35" t="str">
        <x:f>IF(OR($E32="",$F32="Unscheduled"),"",IF($AA32="Either date",IF(OR(Q$12=$E32,Q$12=$F32),3,""),IF(AND(Q$12&gt;=$E32,Q$12&lt;=$F32),IF($AA32="Milestone",IF(AND(OR($D32="Complete",$D32="Submitted"),$F32&gt;Sources!$C$5),"T",2),IF(AND(OR($D32="Complete",$D32="Submitted"),Q$12&gt;Sources!$C$5),4,1)),"")))</x:f>
      </x:c>
      <x:c r="R32" s="35" t="str">
        <x:f>IF(OR($E32="",$F32="Unscheduled"),"",IF($AA32="Either date",IF(OR(R$12=$E32,R$12=$F32),3,""),IF(AND(R$12&gt;=$E32,R$12&lt;=$F32),IF($AA32="Milestone",IF(AND(OR($D32="Complete",$D32="Submitted"),$F32&gt;Sources!$C$5),"T",2),IF(AND(OR($D32="Complete",$D32="Submitted"),R$12&gt;Sources!$C$5),4,1)),"")))</x:f>
      </x:c>
      <x:c r="S32" s="35" t="str">
        <x:f>IF(OR($E32="",$F32="Unscheduled"),"",IF($AA32="Either date",IF(OR(S$12=$E32,S$12=$F32),3,""),IF(AND(S$12&gt;=$E32,S$12&lt;=$F32),IF($AA32="Milestone",IF(AND(OR($D32="Complete",$D32="Submitted"),$F32&gt;Sources!$C$5),"T",2),IF(AND(OR($D32="Complete",$D32="Submitted"),S$12&gt;Sources!$C$5),4,1)),"")))</x:f>
      </x:c>
      <x:c r="T32" s="35" t="str">
        <x:f>IF(OR($E32="",$F32="Unscheduled"),"",IF($AA32="Either date",IF(OR(T$12=$E32,T$12=$F32),3,""),IF(AND(T$12&gt;=$E32,T$12&lt;=$F32),IF($AA32="Milestone",IF(AND(OR($D32="Complete",$D32="Submitted"),$F32&gt;Sources!$C$5),"T",2),IF(AND(OR($D32="Complete",$D32="Submitted"),T$12&gt;Sources!$C$5),4,1)),"")))</x:f>
      </x:c>
      <x:c r="U32" s="35" t="n">
        <x:f>IF(OR($E32="",$F32="Unscheduled"),"",IF($AA32="Either date",IF(OR(U$12=$E32,U$12=$F32),3,""),IF(AND(U$12&gt;=$E32,U$12&lt;=$F32),IF($AA32="Milestone",IF(AND(OR($D32="Complete",$D32="Submitted"),$F32&gt;Sources!$C$5),"T",2),IF(AND(OR($D32="Complete",$D32="Submitted"),U$12&gt;Sources!$C$5),4,1)),"")))</x:f>
        <x:v>2</x:v>
      </x:c>
      <x:c r="V32" s="35" t="str">
        <x:f>IF(OR($E32="",$F32="Unscheduled"),"",IF($AA32="Either date",IF(OR(V$12=$E32,V$12=$F32),3,""),IF(AND(V$12&gt;=$E32,V$12&lt;=$F32),IF($AA32="Milestone",IF(AND(OR($D32="Complete",$D32="Submitted"),$F32&gt;Sources!$C$5),"T",2),IF(AND(OR($D32="Complete",$D32="Submitted"),V$12&gt;Sources!$C$5),4,1)),"")))</x:f>
      </x:c>
      <x:c r="W32" s="35" t="str">
        <x:f>IF(OR($E32="",$F32="Unscheduled"),"",IF($AA32="Either date",IF(OR(W$12=$E32,W$12=$F32),3,""),IF(AND(W$12&gt;=$E32,W$12&lt;=$F32),IF($AA32="Milestone",IF(AND(OR($D32="Complete",$D32="Submitted"),$F32&gt;Sources!$C$5),"T",2),IF(AND(OR($D32="Complete",$D32="Submitted"),W$12&gt;Sources!$C$5),4,1)),"")))</x:f>
      </x:c>
      <x:c r="X32" s="35" t="str">
        <x:f>IF(OR($E32="",$F32="Unscheduled"),"",IF($AA32="Either date",IF(OR(X$12=$E32,X$12=$F32),3,""),IF(AND(X$12&gt;=$E32,X$12&lt;=$F32),IF($AA32="Milestone",IF(AND(OR($D32="Complete",$D32="Submitted"),$F32&gt;Sources!$C$5),"T",2),IF(AND(OR($D32="Complete",$D32="Submitted"),X$12&gt;Sources!$C$5),4,1)),"")))</x:f>
      </x:c>
      <x:c r="Y32" s="35" t="str">
        <x:f>IF(OR($E32="",$F32="Unscheduled"),"",IF($AA32="Either date",IF(OR(Y$12=$E32,Y$12=$F32),3,""),IF(AND(Y$12&gt;=$E32,Y$12&lt;=$F32),IF($AA32="Milestone",IF(AND(OR($D32="Complete",$D32="Submitted"),$F32&gt;Sources!$C$5),"T",2),IF(AND(OR($D32="Complete",$D32="Submitted"),Y$12&gt;Sources!$C$5),4,1)),"")))</x:f>
      </x:c>
      <x:c r="Z32" s="2"/>
      <x:c r="AA32" s="2" t="str">
        <x:f>'Full schedule'!I42</x:f>
        <x:v>Milestone</x:v>
      </x:c>
    </x:row>
    <x:row r="33" ht="44" customHeight="1">
      <x:c r="A33" s="2" t="str">
        <x:f>'Full schedule'!A94</x:f>
        <x:v>C13</x:v>
      </x:c>
      <x:c r="B33" s="18" t="str">
        <x:f>'Full schedule'!B94</x:f>
        <x:v>MVP (Minimally Viable Prototype)</x:v>
      </x:c>
      <x:c r="C33" s="18" t="str">
        <x:f>'Full schedule'!C94</x:f>
        <x:v>All four</x:v>
      </x:c>
      <x:c r="D33" s="2" t="str">
        <x:f>IF('Full schedule'!G94="Review","Review dates",'Full schedule'!D94)</x:f>
        <x:v>Planned</x:v>
      </x:c>
      <x:c r="E33" s="43" t="n">
        <x:f>IF('Full schedule'!E94="","",'Full schedule'!E94)</x:f>
        <x:v>46328</x:v>
      </x:c>
      <x:c r="F33" s="43" t="n">
        <x:f>IF('Full schedule'!F94="",IF(OR('Full schedule'!D94="Complete",'Full schedule'!D94="Submitted"),"n.a.","Unscheduled"),'Full schedule'!F94)</x:f>
        <x:v>46328</x:v>
      </x:c>
      <x:c r="G33" s="35" t="str">
        <x:f>IF(OR($E33="",$F33="Unscheduled"),"",IF($AA33="Either date",IF(OR(G$12=$E33,G$12=$F33),3,""),IF(AND(G$12&gt;=$E33,G$12&lt;=$F33),IF($AA33="Milestone",IF(AND(OR($D33="Complete",$D33="Submitted"),$F33&gt;Sources!$C$5),"T",2),IF(AND(OR($D33="Complete",$D33="Submitted"),G$12&gt;Sources!$C$5),4,1)),"")))</x:f>
      </x:c>
      <x:c r="H33" s="35" t="str">
        <x:f>IF(OR($E33="",$F33="Unscheduled"),"",IF($AA33="Either date",IF(OR(H$12=$E33,H$12=$F33),3,""),IF(AND(H$12&gt;=$E33,H$12&lt;=$F33),IF($AA33="Milestone",IF(AND(OR($D33="Complete",$D33="Submitted"),$F33&gt;Sources!$C$5),"T",2),IF(AND(OR($D33="Complete",$D33="Submitted"),H$12&gt;Sources!$C$5),4,1)),"")))</x:f>
      </x:c>
      <x:c r="I33" s="35" t="str">
        <x:f>IF(OR($E33="",$F33="Unscheduled"),"",IF($AA33="Either date",IF(OR(I$12=$E33,I$12=$F33),3,""),IF(AND(I$12&gt;=$E33,I$12&lt;=$F33),IF($AA33="Milestone",IF(AND(OR($D33="Complete",$D33="Submitted"),$F33&gt;Sources!$C$5),"T",2),IF(AND(OR($D33="Complete",$D33="Submitted"),I$12&gt;Sources!$C$5),4,1)),"")))</x:f>
      </x:c>
      <x:c r="J33" s="35" t="str">
        <x:f>IF(OR($E33="",$F33="Unscheduled"),"",IF($AA33="Either date",IF(OR(J$12=$E33,J$12=$F33),3,""),IF(AND(J$12&gt;=$E33,J$12&lt;=$F33),IF($AA33="Milestone",IF(AND(OR($D33="Complete",$D33="Submitted"),$F33&gt;Sources!$C$5),"T",2),IF(AND(OR($D33="Complete",$D33="Submitted"),J$12&gt;Sources!$C$5),4,1)),"")))</x:f>
      </x:c>
      <x:c r="K33" s="35" t="str">
        <x:f>IF(OR($E33="",$F33="Unscheduled"),"",IF($AA33="Either date",IF(OR(K$12=$E33,K$12=$F33),3,""),IF(AND(K$12&gt;=$E33,K$12&lt;=$F33),IF($AA33="Milestone",IF(AND(OR($D33="Complete",$D33="Submitted"),$F33&gt;Sources!$C$5),"T",2),IF(AND(OR($D33="Complete",$D33="Submitted"),K$12&gt;Sources!$C$5),4,1)),"")))</x:f>
      </x:c>
      <x:c r="L33" s="35" t="str">
        <x:f>IF(OR($E33="",$F33="Unscheduled"),"",IF($AA33="Either date",IF(OR(L$12=$E33,L$12=$F33),3,""),IF(AND(L$12&gt;=$E33,L$12&lt;=$F33),IF($AA33="Milestone",IF(AND(OR($D33="Complete",$D33="Submitted"),$F33&gt;Sources!$C$5),"T",2),IF(AND(OR($D33="Complete",$D33="Submitted"),L$12&gt;Sources!$C$5),4,1)),"")))</x:f>
      </x:c>
      <x:c r="M33" s="35" t="str">
        <x:f>IF(OR($E33="",$F33="Unscheduled"),"",IF($AA33="Either date",IF(OR(M$12=$E33,M$12=$F33),3,""),IF(AND(M$12&gt;=$E33,M$12&lt;=$F33),IF($AA33="Milestone",IF(AND(OR($D33="Complete",$D33="Submitted"),$F33&gt;Sources!$C$5),"T",2),IF(AND(OR($D33="Complete",$D33="Submitted"),M$12&gt;Sources!$C$5),4,1)),"")))</x:f>
      </x:c>
      <x:c r="N33" s="35" t="str">
        <x:f>IF(OR($E33="",$F33="Unscheduled"),"",IF($AA33="Either date",IF(OR(N$12=$E33,N$12=$F33),3,""),IF(AND(N$12&gt;=$E33,N$12&lt;=$F33),IF($AA33="Milestone",IF(AND(OR($D33="Complete",$D33="Submitted"),$F33&gt;Sources!$C$5),"T",2),IF(AND(OR($D33="Complete",$D33="Submitted"),N$12&gt;Sources!$C$5),4,1)),"")))</x:f>
      </x:c>
      <x:c r="O33" s="35" t="str">
        <x:f>IF(OR($E33="",$F33="Unscheduled"),"",IF($AA33="Either date",IF(OR(O$12=$E33,O$12=$F33),3,""),IF(AND(O$12&gt;=$E33,O$12&lt;=$F33),IF($AA33="Milestone",IF(AND(OR($D33="Complete",$D33="Submitted"),$F33&gt;Sources!$C$5),"T",2),IF(AND(OR($D33="Complete",$D33="Submitted"),O$12&gt;Sources!$C$5),4,1)),"")))</x:f>
      </x:c>
      <x:c r="P33" s="35" t="str">
        <x:f>IF(OR($E33="",$F33="Unscheduled"),"",IF($AA33="Either date",IF(OR(P$12=$E33,P$12=$F33),3,""),IF(AND(P$12&gt;=$E33,P$12&lt;=$F33),IF($AA33="Milestone",IF(AND(OR($D33="Complete",$D33="Submitted"),$F33&gt;Sources!$C$5),"T",2),IF(AND(OR($D33="Complete",$D33="Submitted"),P$12&gt;Sources!$C$5),4,1)),"")))</x:f>
      </x:c>
      <x:c r="Q33" s="35" t="str">
        <x:f>IF(OR($E33="",$F33="Unscheduled"),"",IF($AA33="Either date",IF(OR(Q$12=$E33,Q$12=$F33),3,""),IF(AND(Q$12&gt;=$E33,Q$12&lt;=$F33),IF($AA33="Milestone",IF(AND(OR($D33="Complete",$D33="Submitted"),$F33&gt;Sources!$C$5),"T",2),IF(AND(OR($D33="Complete",$D33="Submitted"),Q$12&gt;Sources!$C$5),4,1)),"")))</x:f>
      </x:c>
      <x:c r="R33" s="35" t="str">
        <x:f>IF(OR($E33="",$F33="Unscheduled"),"",IF($AA33="Either date",IF(OR(R$12=$E33,R$12=$F33),3,""),IF(AND(R$12&gt;=$E33,R$12&lt;=$F33),IF($AA33="Milestone",IF(AND(OR($D33="Complete",$D33="Submitted"),$F33&gt;Sources!$C$5),"T",2),IF(AND(OR($D33="Complete",$D33="Submitted"),R$12&gt;Sources!$C$5),4,1)),"")))</x:f>
      </x:c>
      <x:c r="S33" s="35" t="str">
        <x:f>IF(OR($E33="",$F33="Unscheduled"),"",IF($AA33="Either date",IF(OR(S$12=$E33,S$12=$F33),3,""),IF(AND(S$12&gt;=$E33,S$12&lt;=$F33),IF($AA33="Milestone",IF(AND(OR($D33="Complete",$D33="Submitted"),$F33&gt;Sources!$C$5),"T",2),IF(AND(OR($D33="Complete",$D33="Submitted"),S$12&gt;Sources!$C$5),4,1)),"")))</x:f>
      </x:c>
      <x:c r="T33" s="35" t="str">
        <x:f>IF(OR($E33="",$F33="Unscheduled"),"",IF($AA33="Either date",IF(OR(T$12=$E33,T$12=$F33),3,""),IF(AND(T$12&gt;=$E33,T$12&lt;=$F33),IF($AA33="Milestone",IF(AND(OR($D33="Complete",$D33="Submitted"),$F33&gt;Sources!$C$5),"T",2),IF(AND(OR($D33="Complete",$D33="Submitted"),T$12&gt;Sources!$C$5),4,1)),"")))</x:f>
      </x:c>
      <x:c r="U33" s="35" t="n">
        <x:f>IF(OR($E33="",$F33="Unscheduled"),"",IF($AA33="Either date",IF(OR(U$12=$E33,U$12=$F33),3,""),IF(AND(U$12&gt;=$E33,U$12&lt;=$F33),IF($AA33="Milestone",IF(AND(OR($D33="Complete",$D33="Submitted"),$F33&gt;Sources!$C$5),"T",2),IF(AND(OR($D33="Complete",$D33="Submitted"),U$12&gt;Sources!$C$5),4,1)),"")))</x:f>
        <x:v>2</x:v>
      </x:c>
      <x:c r="V33" s="35" t="str">
        <x:f>IF(OR($E33="",$F33="Unscheduled"),"",IF($AA33="Either date",IF(OR(V$12=$E33,V$12=$F33),3,""),IF(AND(V$12&gt;=$E33,V$12&lt;=$F33),IF($AA33="Milestone",IF(AND(OR($D33="Complete",$D33="Submitted"),$F33&gt;Sources!$C$5),"T",2),IF(AND(OR($D33="Complete",$D33="Submitted"),V$12&gt;Sources!$C$5),4,1)),"")))</x:f>
      </x:c>
      <x:c r="W33" s="35" t="str">
        <x:f>IF(OR($E33="",$F33="Unscheduled"),"",IF($AA33="Either date",IF(OR(W$12=$E33,W$12=$F33),3,""),IF(AND(W$12&gt;=$E33,W$12&lt;=$F33),IF($AA33="Milestone",IF(AND(OR($D33="Complete",$D33="Submitted"),$F33&gt;Sources!$C$5),"T",2),IF(AND(OR($D33="Complete",$D33="Submitted"),W$12&gt;Sources!$C$5),4,1)),"")))</x:f>
      </x:c>
      <x:c r="X33" s="35" t="str">
        <x:f>IF(OR($E33="",$F33="Unscheduled"),"",IF($AA33="Either date",IF(OR(X$12=$E33,X$12=$F33),3,""),IF(AND(X$12&gt;=$E33,X$12&lt;=$F33),IF($AA33="Milestone",IF(AND(OR($D33="Complete",$D33="Submitted"),$F33&gt;Sources!$C$5),"T",2),IF(AND(OR($D33="Complete",$D33="Submitted"),X$12&gt;Sources!$C$5),4,1)),"")))</x:f>
      </x:c>
      <x:c r="Y33" s="35" t="str">
        <x:f>IF(OR($E33="",$F33="Unscheduled"),"",IF($AA33="Either date",IF(OR(Y$12=$E33,Y$12=$F33),3,""),IF(AND(Y$12&gt;=$E33,Y$12&lt;=$F33),IF($AA33="Milestone",IF(AND(OR($D33="Complete",$D33="Submitted"),$F33&gt;Sources!$C$5),"T",2),IF(AND(OR($D33="Complete",$D33="Submitted"),Y$12&gt;Sources!$C$5),4,1)),"")))</x:f>
      </x:c>
      <x:c r="Z33" s="2"/>
      <x:c r="AA33" s="2" t="str">
        <x:f>'Full schedule'!I94</x:f>
        <x:v>Milestone</x:v>
      </x:c>
    </x:row>
    <x:row r="34" ht="24" customHeight="1">
      <x:c r="A34" s="33" t="str">
        <x:v>Initial laboratory testing</x:v>
      </x:c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2"/>
      <x:c r="AA34" s="2"/>
    </x:row>
    <x:row r="35" ht="44" customHeight="1">
      <x:c r="A35" s="2" t="str">
        <x:f>'Full schedule'!A44</x:f>
        <x:v>V1</x:v>
      </x:c>
      <x:c r="B35" s="18" t="str">
        <x:f>'Full schedule'!B44</x:f>
        <x:v>Collect initial laboratory verification and validation data</x:v>
      </x:c>
      <x:c r="C35" s="18" t="str">
        <x:f>'Full schedule'!C44</x:f>
        <x:v>All four</x:v>
      </x:c>
      <x:c r="D35" s="2" t="str">
        <x:f>IF('Full schedule'!G44="Review","Review dates",'Full schedule'!D44)</x:f>
        <x:v>Planned</x:v>
      </x:c>
      <x:c r="E35" s="43" t="n">
        <x:f>IF('Full schedule'!E44="","",'Full schedule'!E44)</x:f>
        <x:v>46329</x:v>
      </x:c>
      <x:c r="F35" s="43" t="n">
        <x:f>IF('Full schedule'!F44="",IF(OR('Full schedule'!D44="Complete",'Full schedule'!D44="Submitted"),"n.a.","Unscheduled"),'Full schedule'!F44)</x:f>
        <x:v>46331</x:v>
      </x:c>
      <x:c r="G35" s="35" t="str">
        <x:f>IF(OR($E35="",$F35="Unscheduled"),"",IF($AA35="Either date",IF(OR(G$12=$E35,G$12=$F35),3,""),IF(AND(G$12&gt;=$E35,G$12&lt;=$F35),IF($AA35="Milestone",IF(AND(OR($D35="Complete",$D35="Submitted"),$F35&gt;Sources!$C$5),"T",2),IF(AND(OR($D35="Complete",$D35="Submitted"),G$12&gt;Sources!$C$5),4,1)),"")))</x:f>
      </x:c>
      <x:c r="H35" s="35" t="str">
        <x:f>IF(OR($E35="",$F35="Unscheduled"),"",IF($AA35="Either date",IF(OR(H$12=$E35,H$12=$F35),3,""),IF(AND(H$12&gt;=$E35,H$12&lt;=$F35),IF($AA35="Milestone",IF(AND(OR($D35="Complete",$D35="Submitted"),$F35&gt;Sources!$C$5),"T",2),IF(AND(OR($D35="Complete",$D35="Submitted"),H$12&gt;Sources!$C$5),4,1)),"")))</x:f>
      </x:c>
      <x:c r="I35" s="35" t="str">
        <x:f>IF(OR($E35="",$F35="Unscheduled"),"",IF($AA35="Either date",IF(OR(I$12=$E35,I$12=$F35),3,""),IF(AND(I$12&gt;=$E35,I$12&lt;=$F35),IF($AA35="Milestone",IF(AND(OR($D35="Complete",$D35="Submitted"),$F35&gt;Sources!$C$5),"T",2),IF(AND(OR($D35="Complete",$D35="Submitted"),I$12&gt;Sources!$C$5),4,1)),"")))</x:f>
      </x:c>
      <x:c r="J35" s="35" t="str">
        <x:f>IF(OR($E35="",$F35="Unscheduled"),"",IF($AA35="Either date",IF(OR(J$12=$E35,J$12=$F35),3,""),IF(AND(J$12&gt;=$E35,J$12&lt;=$F35),IF($AA35="Milestone",IF(AND(OR($D35="Complete",$D35="Submitted"),$F35&gt;Sources!$C$5),"T",2),IF(AND(OR($D35="Complete",$D35="Submitted"),J$12&gt;Sources!$C$5),4,1)),"")))</x:f>
      </x:c>
      <x:c r="K35" s="35" t="str">
        <x:f>IF(OR($E35="",$F35="Unscheduled"),"",IF($AA35="Either date",IF(OR(K$12=$E35,K$12=$F35),3,""),IF(AND(K$12&gt;=$E35,K$12&lt;=$F35),IF($AA35="Milestone",IF(AND(OR($D35="Complete",$D35="Submitted"),$F35&gt;Sources!$C$5),"T",2),IF(AND(OR($D35="Complete",$D35="Submitted"),K$12&gt;Sources!$C$5),4,1)),"")))</x:f>
      </x:c>
      <x:c r="L35" s="35" t="str">
        <x:f>IF(OR($E35="",$F35="Unscheduled"),"",IF($AA35="Either date",IF(OR(L$12=$E35,L$12=$F35),3,""),IF(AND(L$12&gt;=$E35,L$12&lt;=$F35),IF($AA35="Milestone",IF(AND(OR($D35="Complete",$D35="Submitted"),$F35&gt;Sources!$C$5),"T",2),IF(AND(OR($D35="Complete",$D35="Submitted"),L$12&gt;Sources!$C$5),4,1)),"")))</x:f>
      </x:c>
      <x:c r="M35" s="35" t="str">
        <x:f>IF(OR($E35="",$F35="Unscheduled"),"",IF($AA35="Either date",IF(OR(M$12=$E35,M$12=$F35),3,""),IF(AND(M$12&gt;=$E35,M$12&lt;=$F35),IF($AA35="Milestone",IF(AND(OR($D35="Complete",$D35="Submitted"),$F35&gt;Sources!$C$5),"T",2),IF(AND(OR($D35="Complete",$D35="Submitted"),M$12&gt;Sources!$C$5),4,1)),"")))</x:f>
      </x:c>
      <x:c r="N35" s="35" t="str">
        <x:f>IF(OR($E35="",$F35="Unscheduled"),"",IF($AA35="Either date",IF(OR(N$12=$E35,N$12=$F35),3,""),IF(AND(N$12&gt;=$E35,N$12&lt;=$F35),IF($AA35="Milestone",IF(AND(OR($D35="Complete",$D35="Submitted"),$F35&gt;Sources!$C$5),"T",2),IF(AND(OR($D35="Complete",$D35="Submitted"),N$12&gt;Sources!$C$5),4,1)),"")))</x:f>
      </x:c>
      <x:c r="O35" s="35" t="str">
        <x:f>IF(OR($E35="",$F35="Unscheduled"),"",IF($AA35="Either date",IF(OR(O$12=$E35,O$12=$F35),3,""),IF(AND(O$12&gt;=$E35,O$12&lt;=$F35),IF($AA35="Milestone",IF(AND(OR($D35="Complete",$D35="Submitted"),$F35&gt;Sources!$C$5),"T",2),IF(AND(OR($D35="Complete",$D35="Submitted"),O$12&gt;Sources!$C$5),4,1)),"")))</x:f>
      </x:c>
      <x:c r="P35" s="35" t="str">
        <x:f>IF(OR($E35="",$F35="Unscheduled"),"",IF($AA35="Either date",IF(OR(P$12=$E35,P$12=$F35),3,""),IF(AND(P$12&gt;=$E35,P$12&lt;=$F35),IF($AA35="Milestone",IF(AND(OR($D35="Complete",$D35="Submitted"),$F35&gt;Sources!$C$5),"T",2),IF(AND(OR($D35="Complete",$D35="Submitted"),P$12&gt;Sources!$C$5),4,1)),"")))</x:f>
      </x:c>
      <x:c r="Q35" s="35" t="str">
        <x:f>IF(OR($E35="",$F35="Unscheduled"),"",IF($AA35="Either date",IF(OR(Q$12=$E35,Q$12=$F35),3,""),IF(AND(Q$12&gt;=$E35,Q$12&lt;=$F35),IF($AA35="Milestone",IF(AND(OR($D35="Complete",$D35="Submitted"),$F35&gt;Sources!$C$5),"T",2),IF(AND(OR($D35="Complete",$D35="Submitted"),Q$12&gt;Sources!$C$5),4,1)),"")))</x:f>
      </x:c>
      <x:c r="R35" s="35" t="str">
        <x:f>IF(OR($E35="",$F35="Unscheduled"),"",IF($AA35="Either date",IF(OR(R$12=$E35,R$12=$F35),3,""),IF(AND(R$12&gt;=$E35,R$12&lt;=$F35),IF($AA35="Milestone",IF(AND(OR($D35="Complete",$D35="Submitted"),$F35&gt;Sources!$C$5),"T",2),IF(AND(OR($D35="Complete",$D35="Submitted"),R$12&gt;Sources!$C$5),4,1)),"")))</x:f>
      </x:c>
      <x:c r="S35" s="35" t="str">
        <x:f>IF(OR($E35="",$F35="Unscheduled"),"",IF($AA35="Either date",IF(OR(S$12=$E35,S$12=$F35),3,""),IF(AND(S$12&gt;=$E35,S$12&lt;=$F35),IF($AA35="Milestone",IF(AND(OR($D35="Complete",$D35="Submitted"),$F35&gt;Sources!$C$5),"T",2),IF(AND(OR($D35="Complete",$D35="Submitted"),S$12&gt;Sources!$C$5),4,1)),"")))</x:f>
      </x:c>
      <x:c r="T35" s="35" t="str">
        <x:f>IF(OR($E35="",$F35="Unscheduled"),"",IF($AA35="Either date",IF(OR(T$12=$E35,T$12=$F35),3,""),IF(AND(T$12&gt;=$E35,T$12&lt;=$F35),IF($AA35="Milestone",IF(AND(OR($D35="Complete",$D35="Submitted"),$F35&gt;Sources!$C$5),"T",2),IF(AND(OR($D35="Complete",$D35="Submitted"),T$12&gt;Sources!$C$5),4,1)),"")))</x:f>
      </x:c>
      <x:c r="U35" s="35" t="str">
        <x:f>IF(OR($E35="",$F35="Unscheduled"),"",IF($AA35="Either date",IF(OR(U$12=$E35,U$12=$F35),3,""),IF(AND(U$12&gt;=$E35,U$12&lt;=$F35),IF($AA35="Milestone",IF(AND(OR($D35="Complete",$D35="Submitted"),$F35&gt;Sources!$C$5),"T",2),IF(AND(OR($D35="Complete",$D35="Submitted"),U$12&gt;Sources!$C$5),4,1)),"")))</x:f>
      </x:c>
      <x:c r="V35" s="35" t="n">
        <x:f>IF(OR($E35="",$F35="Unscheduled"),"",IF($AA35="Either date",IF(OR(V$12=$E35,V$12=$F35),3,""),IF(AND(V$12&gt;=$E35,V$12&lt;=$F35),IF($AA35="Milestone",IF(AND(OR($D35="Complete",$D35="Submitted"),$F35&gt;Sources!$C$5),"T",2),IF(AND(OR($D35="Complete",$D35="Submitted"),V$12&gt;Sources!$C$5),4,1)),"")))</x:f>
        <x:v>1</x:v>
      </x:c>
      <x:c r="W35" s="35" t="n">
        <x:f>IF(OR($E35="",$F35="Unscheduled"),"",IF($AA35="Either date",IF(OR(W$12=$E35,W$12=$F35),3,""),IF(AND(W$12&gt;=$E35,W$12&lt;=$F35),IF($AA35="Milestone",IF(AND(OR($D35="Complete",$D35="Submitted"),$F35&gt;Sources!$C$5),"T",2),IF(AND(OR($D35="Complete",$D35="Submitted"),W$12&gt;Sources!$C$5),4,1)),"")))</x:f>
        <x:v>1</x:v>
      </x:c>
      <x:c r="X35" s="35" t="n">
        <x:f>IF(OR($E35="",$F35="Unscheduled"),"",IF($AA35="Either date",IF(OR(X$12=$E35,X$12=$F35),3,""),IF(AND(X$12&gt;=$E35,X$12&lt;=$F35),IF($AA35="Milestone",IF(AND(OR($D35="Complete",$D35="Submitted"),$F35&gt;Sources!$C$5),"T",2),IF(AND(OR($D35="Complete",$D35="Submitted"),X$12&gt;Sources!$C$5),4,1)),"")))</x:f>
        <x:v>1</x:v>
      </x:c>
      <x:c r="Y35" s="35" t="str">
        <x:f>IF(OR($E35="",$F35="Unscheduled"),"",IF($AA35="Either date",IF(OR(Y$12=$E35,Y$12=$F35),3,""),IF(AND(Y$12&gt;=$E35,Y$12&lt;=$F35),IF($AA35="Milestone",IF(AND(OR($D35="Complete",$D35="Submitted"),$F35&gt;Sources!$C$5),"T",2),IF(AND(OR($D35="Complete",$D35="Submitted"),Y$12&gt;Sources!$C$5),4,1)),"")))</x:f>
      </x:c>
      <x:c r="Z35" s="2"/>
      <x:c r="AA35" s="2" t="str">
        <x:f>'Full schedule'!I44</x:f>
        <x:v>Window</x:v>
      </x:c>
    </x:row>
    <x:row r="36" ht="44" customHeight="1">
      <x:c r="A36" s="36" t="str">
        <x:f>'Full schedule'!A51</x:f>
        <x:v>M5</x:v>
      </x:c>
      <x:c r="B36" s="37" t="str">
        <x:f>'Full schedule'!B51</x:f>
        <x:v>First laboratory dataset ready</x:v>
      </x:c>
      <x:c r="C36" s="37" t="str">
        <x:f>'Full schedule'!C51</x:f>
        <x:v>All four</x:v>
      </x:c>
      <x:c r="D36" s="36" t="str">
        <x:f>IF('Full schedule'!G51="Review","Review dates",'Full schedule'!D51)</x:f>
        <x:v>Planned</x:v>
      </x:c>
      <x:c r="E36" s="44" t="n">
        <x:f>IF('Full schedule'!E51="","",'Full schedule'!E51)</x:f>
        <x:v>46331</x:v>
      </x:c>
      <x:c r="F36" s="44" t="n">
        <x:f>IF('Full schedule'!F51="",IF(OR('Full schedule'!D51="Complete",'Full schedule'!D51="Submitted"),"n.a.","Unscheduled"),'Full schedule'!F51)</x:f>
        <x:v>46331</x:v>
      </x:c>
      <x:c r="G36" s="35" t="str">
        <x:f>IF(OR($E36="",$F36="Unscheduled"),"",IF($AA36="Either date",IF(OR(G$12=$E36,G$12=$F36),3,""),IF(AND(G$12&gt;=$E36,G$12&lt;=$F36),IF($AA36="Milestone",IF(AND(OR($D36="Complete",$D36="Submitted"),$F36&gt;Sources!$C$5),"T",2),IF(AND(OR($D36="Complete",$D36="Submitted"),G$12&gt;Sources!$C$5),4,1)),"")))</x:f>
      </x:c>
      <x:c r="H36" s="35" t="str">
        <x:f>IF(OR($E36="",$F36="Unscheduled"),"",IF($AA36="Either date",IF(OR(H$12=$E36,H$12=$F36),3,""),IF(AND(H$12&gt;=$E36,H$12&lt;=$F36),IF($AA36="Milestone",IF(AND(OR($D36="Complete",$D36="Submitted"),$F36&gt;Sources!$C$5),"T",2),IF(AND(OR($D36="Complete",$D36="Submitted"),H$12&gt;Sources!$C$5),4,1)),"")))</x:f>
      </x:c>
      <x:c r="I36" s="35" t="str">
        <x:f>IF(OR($E36="",$F36="Unscheduled"),"",IF($AA36="Either date",IF(OR(I$12=$E36,I$12=$F36),3,""),IF(AND(I$12&gt;=$E36,I$12&lt;=$F36),IF($AA36="Milestone",IF(AND(OR($D36="Complete",$D36="Submitted"),$F36&gt;Sources!$C$5),"T",2),IF(AND(OR($D36="Complete",$D36="Submitted"),I$12&gt;Sources!$C$5),4,1)),"")))</x:f>
      </x:c>
      <x:c r="J36" s="35" t="str">
        <x:f>IF(OR($E36="",$F36="Unscheduled"),"",IF($AA36="Either date",IF(OR(J$12=$E36,J$12=$F36),3,""),IF(AND(J$12&gt;=$E36,J$12&lt;=$F36),IF($AA36="Milestone",IF(AND(OR($D36="Complete",$D36="Submitted"),$F36&gt;Sources!$C$5),"T",2),IF(AND(OR($D36="Complete",$D36="Submitted"),J$12&gt;Sources!$C$5),4,1)),"")))</x:f>
      </x:c>
      <x:c r="K36" s="35" t="str">
        <x:f>IF(OR($E36="",$F36="Unscheduled"),"",IF($AA36="Either date",IF(OR(K$12=$E36,K$12=$F36),3,""),IF(AND(K$12&gt;=$E36,K$12&lt;=$F36),IF($AA36="Milestone",IF(AND(OR($D36="Complete",$D36="Submitted"),$F36&gt;Sources!$C$5),"T",2),IF(AND(OR($D36="Complete",$D36="Submitted"),K$12&gt;Sources!$C$5),4,1)),"")))</x:f>
      </x:c>
      <x:c r="L36" s="35" t="str">
        <x:f>IF(OR($E36="",$F36="Unscheduled"),"",IF($AA36="Either date",IF(OR(L$12=$E36,L$12=$F36),3,""),IF(AND(L$12&gt;=$E36,L$12&lt;=$F36),IF($AA36="Milestone",IF(AND(OR($D36="Complete",$D36="Submitted"),$F36&gt;Sources!$C$5),"T",2),IF(AND(OR($D36="Complete",$D36="Submitted"),L$12&gt;Sources!$C$5),4,1)),"")))</x:f>
      </x:c>
      <x:c r="M36" s="35" t="str">
        <x:f>IF(OR($E36="",$F36="Unscheduled"),"",IF($AA36="Either date",IF(OR(M$12=$E36,M$12=$F36),3,""),IF(AND(M$12&gt;=$E36,M$12&lt;=$F36),IF($AA36="Milestone",IF(AND(OR($D36="Complete",$D36="Submitted"),$F36&gt;Sources!$C$5),"T",2),IF(AND(OR($D36="Complete",$D36="Submitted"),M$12&gt;Sources!$C$5),4,1)),"")))</x:f>
      </x:c>
      <x:c r="N36" s="35" t="str">
        <x:f>IF(OR($E36="",$F36="Unscheduled"),"",IF($AA36="Either date",IF(OR(N$12=$E36,N$12=$F36),3,""),IF(AND(N$12&gt;=$E36,N$12&lt;=$F36),IF($AA36="Milestone",IF(AND(OR($D36="Complete",$D36="Submitted"),$F36&gt;Sources!$C$5),"T",2),IF(AND(OR($D36="Complete",$D36="Submitted"),N$12&gt;Sources!$C$5),4,1)),"")))</x:f>
      </x:c>
      <x:c r="O36" s="35" t="str">
        <x:f>IF(OR($E36="",$F36="Unscheduled"),"",IF($AA36="Either date",IF(OR(O$12=$E36,O$12=$F36),3,""),IF(AND(O$12&gt;=$E36,O$12&lt;=$F36),IF($AA36="Milestone",IF(AND(OR($D36="Complete",$D36="Submitted"),$F36&gt;Sources!$C$5),"T",2),IF(AND(OR($D36="Complete",$D36="Submitted"),O$12&gt;Sources!$C$5),4,1)),"")))</x:f>
      </x:c>
      <x:c r="P36" s="35" t="str">
        <x:f>IF(OR($E36="",$F36="Unscheduled"),"",IF($AA36="Either date",IF(OR(P$12=$E36,P$12=$F36),3,""),IF(AND(P$12&gt;=$E36,P$12&lt;=$F36),IF($AA36="Milestone",IF(AND(OR($D36="Complete",$D36="Submitted"),$F36&gt;Sources!$C$5),"T",2),IF(AND(OR($D36="Complete",$D36="Submitted"),P$12&gt;Sources!$C$5),4,1)),"")))</x:f>
      </x:c>
      <x:c r="Q36" s="35" t="str">
        <x:f>IF(OR($E36="",$F36="Unscheduled"),"",IF($AA36="Either date",IF(OR(Q$12=$E36,Q$12=$F36),3,""),IF(AND(Q$12&gt;=$E36,Q$12&lt;=$F36),IF($AA36="Milestone",IF(AND(OR($D36="Complete",$D36="Submitted"),$F36&gt;Sources!$C$5),"T",2),IF(AND(OR($D36="Complete",$D36="Submitted"),Q$12&gt;Sources!$C$5),4,1)),"")))</x:f>
      </x:c>
      <x:c r="R36" s="35" t="str">
        <x:f>IF(OR($E36="",$F36="Unscheduled"),"",IF($AA36="Either date",IF(OR(R$12=$E36,R$12=$F36),3,""),IF(AND(R$12&gt;=$E36,R$12&lt;=$F36),IF($AA36="Milestone",IF(AND(OR($D36="Complete",$D36="Submitted"),$F36&gt;Sources!$C$5),"T",2),IF(AND(OR($D36="Complete",$D36="Submitted"),R$12&gt;Sources!$C$5),4,1)),"")))</x:f>
      </x:c>
      <x:c r="S36" s="35" t="str">
        <x:f>IF(OR($E36="",$F36="Unscheduled"),"",IF($AA36="Either date",IF(OR(S$12=$E36,S$12=$F36),3,""),IF(AND(S$12&gt;=$E36,S$12&lt;=$F36),IF($AA36="Milestone",IF(AND(OR($D36="Complete",$D36="Submitted"),$F36&gt;Sources!$C$5),"T",2),IF(AND(OR($D36="Complete",$D36="Submitted"),S$12&gt;Sources!$C$5),4,1)),"")))</x:f>
      </x:c>
      <x:c r="T36" s="35" t="str">
        <x:f>IF(OR($E36="",$F36="Unscheduled"),"",IF($AA36="Either date",IF(OR(T$12=$E36,T$12=$F36),3,""),IF(AND(T$12&gt;=$E36,T$12&lt;=$F36),IF($AA36="Milestone",IF(AND(OR($D36="Complete",$D36="Submitted"),$F36&gt;Sources!$C$5),"T",2),IF(AND(OR($D36="Complete",$D36="Submitted"),T$12&gt;Sources!$C$5),4,1)),"")))</x:f>
      </x:c>
      <x:c r="U36" s="35" t="str">
        <x:f>IF(OR($E36="",$F36="Unscheduled"),"",IF($AA36="Either date",IF(OR(U$12=$E36,U$12=$F36),3,""),IF(AND(U$12&gt;=$E36,U$12&lt;=$F36),IF($AA36="Milestone",IF(AND(OR($D36="Complete",$D36="Submitted"),$F36&gt;Sources!$C$5),"T",2),IF(AND(OR($D36="Complete",$D36="Submitted"),U$12&gt;Sources!$C$5),4,1)),"")))</x:f>
      </x:c>
      <x:c r="V36" s="35" t="str">
        <x:f>IF(OR($E36="",$F36="Unscheduled"),"",IF($AA36="Either date",IF(OR(V$12=$E36,V$12=$F36),3,""),IF(AND(V$12&gt;=$E36,V$12&lt;=$F36),IF($AA36="Milestone",IF(AND(OR($D36="Complete",$D36="Submitted"),$F36&gt;Sources!$C$5),"T",2),IF(AND(OR($D36="Complete",$D36="Submitted"),V$12&gt;Sources!$C$5),4,1)),"")))</x:f>
      </x:c>
      <x:c r="W36" s="35" t="str">
        <x:f>IF(OR($E36="",$F36="Unscheduled"),"",IF($AA36="Either date",IF(OR(W$12=$E36,W$12=$F36),3,""),IF(AND(W$12&gt;=$E36,W$12&lt;=$F36),IF($AA36="Milestone",IF(AND(OR($D36="Complete",$D36="Submitted"),$F36&gt;Sources!$C$5),"T",2),IF(AND(OR($D36="Complete",$D36="Submitted"),W$12&gt;Sources!$C$5),4,1)),"")))</x:f>
      </x:c>
      <x:c r="X36" s="35" t="n">
        <x:f>IF(OR($E36="",$F36="Unscheduled"),"",IF($AA36="Either date",IF(OR(X$12=$E36,X$12=$F36),3,""),IF(AND(X$12&gt;=$E36,X$12&lt;=$F36),IF($AA36="Milestone",IF(AND(OR($D36="Complete",$D36="Submitted"),$F36&gt;Sources!$C$5),"T",2),IF(AND(OR($D36="Complete",$D36="Submitted"),X$12&gt;Sources!$C$5),4,1)),"")))</x:f>
        <x:v>2</x:v>
      </x:c>
      <x:c r="Y36" s="35" t="str">
        <x:f>IF(OR($E36="",$F36="Unscheduled"),"",IF($AA36="Either date",IF(OR(Y$12=$E36,Y$12=$F36),3,""),IF(AND(Y$12&gt;=$E36,Y$12&lt;=$F36),IF($AA36="Milestone",IF(AND(OR($D36="Complete",$D36="Submitted"),$F36&gt;Sources!$C$5),"T",2),IF(AND(OR($D36="Complete",$D36="Submitted"),Y$12&gt;Sources!$C$5),4,1)),"")))</x:f>
      </x:c>
      <x:c r="Z36" s="2"/>
      <x:c r="AA36" s="2" t="str">
        <x:f>'Full schedule'!I51</x:f>
        <x:v>Milestone</x:v>
      </x:c>
    </x:row>
    <x:row r="37" ht="44" customHeight="1">
      <x:c r="A37" s="2" t="str">
        <x:f>'Full schedule'!A95</x:f>
        <x:v>C16</x:v>
      </x:c>
      <x:c r="B37" s="18" t="str">
        <x:f>'Full schedule'!B95</x:f>
        <x:v>Week 11 verification and validation progress check-in</x:v>
      </x:c>
      <x:c r="C37" s="18" t="str">
        <x:f>'Full schedule'!C95</x:f>
        <x:v>All four</x:v>
      </x:c>
      <x:c r="D37" s="2" t="str">
        <x:f>IF('Full schedule'!G95="Review","Review dates",'Full schedule'!D95)</x:f>
        <x:v>Planned</x:v>
      </x:c>
      <x:c r="E37" s="43" t="n">
        <x:f>IF('Full schedule'!E95="","",'Full schedule'!E95)</x:f>
        <x:v>46332</x:v>
      </x:c>
      <x:c r="F37" s="43" t="n">
        <x:f>IF('Full schedule'!F95="",IF(OR('Full schedule'!D95="Complete",'Full schedule'!D95="Submitted"),"n.a.","Unscheduled"),'Full schedule'!F95)</x:f>
        <x:v>46332</x:v>
      </x:c>
      <x:c r="G37" s="35" t="str">
        <x:f>IF(OR($E37="",$F37="Unscheduled"),"",IF($AA37="Either date",IF(OR(G$12=$E37,G$12=$F37),3,""),IF(AND(G$12&gt;=$E37,G$12&lt;=$F37),IF($AA37="Milestone",IF(AND(OR($D37="Complete",$D37="Submitted"),$F37&gt;Sources!$C$5),"T",2),IF(AND(OR($D37="Complete",$D37="Submitted"),G$12&gt;Sources!$C$5),4,1)),"")))</x:f>
      </x:c>
      <x:c r="H37" s="35" t="str">
        <x:f>IF(OR($E37="",$F37="Unscheduled"),"",IF($AA37="Either date",IF(OR(H$12=$E37,H$12=$F37),3,""),IF(AND(H$12&gt;=$E37,H$12&lt;=$F37),IF($AA37="Milestone",IF(AND(OR($D37="Complete",$D37="Submitted"),$F37&gt;Sources!$C$5),"T",2),IF(AND(OR($D37="Complete",$D37="Submitted"),H$12&gt;Sources!$C$5),4,1)),"")))</x:f>
      </x:c>
      <x:c r="I37" s="35" t="str">
        <x:f>IF(OR($E37="",$F37="Unscheduled"),"",IF($AA37="Either date",IF(OR(I$12=$E37,I$12=$F37),3,""),IF(AND(I$12&gt;=$E37,I$12&lt;=$F37),IF($AA37="Milestone",IF(AND(OR($D37="Complete",$D37="Submitted"),$F37&gt;Sources!$C$5),"T",2),IF(AND(OR($D37="Complete",$D37="Submitted"),I$12&gt;Sources!$C$5),4,1)),"")))</x:f>
      </x:c>
      <x:c r="J37" s="35" t="str">
        <x:f>IF(OR($E37="",$F37="Unscheduled"),"",IF($AA37="Either date",IF(OR(J$12=$E37,J$12=$F37),3,""),IF(AND(J$12&gt;=$E37,J$12&lt;=$F37),IF($AA37="Milestone",IF(AND(OR($D37="Complete",$D37="Submitted"),$F37&gt;Sources!$C$5),"T",2),IF(AND(OR($D37="Complete",$D37="Submitted"),J$12&gt;Sources!$C$5),4,1)),"")))</x:f>
      </x:c>
      <x:c r="K37" s="35" t="str">
        <x:f>IF(OR($E37="",$F37="Unscheduled"),"",IF($AA37="Either date",IF(OR(K$12=$E37,K$12=$F37),3,""),IF(AND(K$12&gt;=$E37,K$12&lt;=$F37),IF($AA37="Milestone",IF(AND(OR($D37="Complete",$D37="Submitted"),$F37&gt;Sources!$C$5),"T",2),IF(AND(OR($D37="Complete",$D37="Submitted"),K$12&gt;Sources!$C$5),4,1)),"")))</x:f>
      </x:c>
      <x:c r="L37" s="35" t="str">
        <x:f>IF(OR($E37="",$F37="Unscheduled"),"",IF($AA37="Either date",IF(OR(L$12=$E37,L$12=$F37),3,""),IF(AND(L$12&gt;=$E37,L$12&lt;=$F37),IF($AA37="Milestone",IF(AND(OR($D37="Complete",$D37="Submitted"),$F37&gt;Sources!$C$5),"T",2),IF(AND(OR($D37="Complete",$D37="Submitted"),L$12&gt;Sources!$C$5),4,1)),"")))</x:f>
      </x:c>
      <x:c r="M37" s="35" t="str">
        <x:f>IF(OR($E37="",$F37="Unscheduled"),"",IF($AA37="Either date",IF(OR(M$12=$E37,M$12=$F37),3,""),IF(AND(M$12&gt;=$E37,M$12&lt;=$F37),IF($AA37="Milestone",IF(AND(OR($D37="Complete",$D37="Submitted"),$F37&gt;Sources!$C$5),"T",2),IF(AND(OR($D37="Complete",$D37="Submitted"),M$12&gt;Sources!$C$5),4,1)),"")))</x:f>
      </x:c>
      <x:c r="N37" s="35" t="str">
        <x:f>IF(OR($E37="",$F37="Unscheduled"),"",IF($AA37="Either date",IF(OR(N$12=$E37,N$12=$F37),3,""),IF(AND(N$12&gt;=$E37,N$12&lt;=$F37),IF($AA37="Milestone",IF(AND(OR($D37="Complete",$D37="Submitted"),$F37&gt;Sources!$C$5),"T",2),IF(AND(OR($D37="Complete",$D37="Submitted"),N$12&gt;Sources!$C$5),4,1)),"")))</x:f>
      </x:c>
      <x:c r="O37" s="35" t="str">
        <x:f>IF(OR($E37="",$F37="Unscheduled"),"",IF($AA37="Either date",IF(OR(O$12=$E37,O$12=$F37),3,""),IF(AND(O$12&gt;=$E37,O$12&lt;=$F37),IF($AA37="Milestone",IF(AND(OR($D37="Complete",$D37="Submitted"),$F37&gt;Sources!$C$5),"T",2),IF(AND(OR($D37="Complete",$D37="Submitted"),O$12&gt;Sources!$C$5),4,1)),"")))</x:f>
      </x:c>
      <x:c r="P37" s="35" t="str">
        <x:f>IF(OR($E37="",$F37="Unscheduled"),"",IF($AA37="Either date",IF(OR(P$12=$E37,P$12=$F37),3,""),IF(AND(P$12&gt;=$E37,P$12&lt;=$F37),IF($AA37="Milestone",IF(AND(OR($D37="Complete",$D37="Submitted"),$F37&gt;Sources!$C$5),"T",2),IF(AND(OR($D37="Complete",$D37="Submitted"),P$12&gt;Sources!$C$5),4,1)),"")))</x:f>
      </x:c>
      <x:c r="Q37" s="35" t="str">
        <x:f>IF(OR($E37="",$F37="Unscheduled"),"",IF($AA37="Either date",IF(OR(Q$12=$E37,Q$12=$F37),3,""),IF(AND(Q$12&gt;=$E37,Q$12&lt;=$F37),IF($AA37="Milestone",IF(AND(OR($D37="Complete",$D37="Submitted"),$F37&gt;Sources!$C$5),"T",2),IF(AND(OR($D37="Complete",$D37="Submitted"),Q$12&gt;Sources!$C$5),4,1)),"")))</x:f>
      </x:c>
      <x:c r="R37" s="35" t="str">
        <x:f>IF(OR($E37="",$F37="Unscheduled"),"",IF($AA37="Either date",IF(OR(R$12=$E37,R$12=$F37),3,""),IF(AND(R$12&gt;=$E37,R$12&lt;=$F37),IF($AA37="Milestone",IF(AND(OR($D37="Complete",$D37="Submitted"),$F37&gt;Sources!$C$5),"T",2),IF(AND(OR($D37="Complete",$D37="Submitted"),R$12&gt;Sources!$C$5),4,1)),"")))</x:f>
      </x:c>
      <x:c r="S37" s="35" t="str">
        <x:f>IF(OR($E37="",$F37="Unscheduled"),"",IF($AA37="Either date",IF(OR(S$12=$E37,S$12=$F37),3,""),IF(AND(S$12&gt;=$E37,S$12&lt;=$F37),IF($AA37="Milestone",IF(AND(OR($D37="Complete",$D37="Submitted"),$F37&gt;Sources!$C$5),"T",2),IF(AND(OR($D37="Complete",$D37="Submitted"),S$12&gt;Sources!$C$5),4,1)),"")))</x:f>
      </x:c>
      <x:c r="T37" s="35" t="str">
        <x:f>IF(OR($E37="",$F37="Unscheduled"),"",IF($AA37="Either date",IF(OR(T$12=$E37,T$12=$F37),3,""),IF(AND(T$12&gt;=$E37,T$12&lt;=$F37),IF($AA37="Milestone",IF(AND(OR($D37="Complete",$D37="Submitted"),$F37&gt;Sources!$C$5),"T",2),IF(AND(OR($D37="Complete",$D37="Submitted"),T$12&gt;Sources!$C$5),4,1)),"")))</x:f>
      </x:c>
      <x:c r="U37" s="35" t="str">
        <x:f>IF(OR($E37="",$F37="Unscheduled"),"",IF($AA37="Either date",IF(OR(U$12=$E37,U$12=$F37),3,""),IF(AND(U$12&gt;=$E37,U$12&lt;=$F37),IF($AA37="Milestone",IF(AND(OR($D37="Complete",$D37="Submitted"),$F37&gt;Sources!$C$5),"T",2),IF(AND(OR($D37="Complete",$D37="Submitted"),U$12&gt;Sources!$C$5),4,1)),"")))</x:f>
      </x:c>
      <x:c r="V37" s="35" t="str">
        <x:f>IF(OR($E37="",$F37="Unscheduled"),"",IF($AA37="Either date",IF(OR(V$12=$E37,V$12=$F37),3,""),IF(AND(V$12&gt;=$E37,V$12&lt;=$F37),IF($AA37="Milestone",IF(AND(OR($D37="Complete",$D37="Submitted"),$F37&gt;Sources!$C$5),"T",2),IF(AND(OR($D37="Complete",$D37="Submitted"),V$12&gt;Sources!$C$5),4,1)),"")))</x:f>
      </x:c>
      <x:c r="W37" s="35" t="str">
        <x:f>IF(OR($E37="",$F37="Unscheduled"),"",IF($AA37="Either date",IF(OR(W$12=$E37,W$12=$F37),3,""),IF(AND(W$12&gt;=$E37,W$12&lt;=$F37),IF($AA37="Milestone",IF(AND(OR($D37="Complete",$D37="Submitted"),$F37&gt;Sources!$C$5),"T",2),IF(AND(OR($D37="Complete",$D37="Submitted"),W$12&gt;Sources!$C$5),4,1)),"")))</x:f>
      </x:c>
      <x:c r="X37" s="35" t="str">
        <x:f>IF(OR($E37="",$F37="Unscheduled"),"",IF($AA37="Either date",IF(OR(X$12=$E37,X$12=$F37),3,""),IF(AND(X$12&gt;=$E37,X$12&lt;=$F37),IF($AA37="Milestone",IF(AND(OR($D37="Complete",$D37="Submitted"),$F37&gt;Sources!$C$5),"T",2),IF(AND(OR($D37="Complete",$D37="Submitted"),X$12&gt;Sources!$C$5),4,1)),"")))</x:f>
      </x:c>
      <x:c r="Y37" s="35" t="n">
        <x:f>IF(OR($E37="",$F37="Unscheduled"),"",IF($AA37="Either date",IF(OR(Y$12=$E37,Y$12=$F37),3,""),IF(AND(Y$12&gt;=$E37,Y$12&lt;=$F37),IF($AA37="Milestone",IF(AND(OR($D37="Complete",$D37="Submitted"),$F37&gt;Sources!$C$5),"T",2),IF(AND(OR($D37="Complete",$D37="Submitted"),Y$12&gt;Sources!$C$5),4,1)),"")))</x:f>
        <x:v>2</x:v>
      </x:c>
      <x:c r="Z37" s="2"/>
      <x:c r="AA37" s="2" t="str">
        <x:f>'Full schedule'!I95</x:f>
        <x:v>Milestone</x:v>
      </x:c>
    </x:row>
    <x:row r="38" ht="24" customHeight="1">
      <x:c r="A38" s="33" t="str">
        <x:v>Unscheduled stakeholder follow-up</x:v>
      </x:c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2"/>
      <x:c r="AA38" s="2"/>
    </x:row>
    <x:row r="39" ht="44" customHeight="1">
      <x:c r="A39" s="2" t="str">
        <x:f>'Full schedule'!A46</x:f>
        <x:v>V3</x:v>
      </x:c>
      <x:c r="B39" s="18" t="str">
        <x:f>'Full schedule'!B46</x:f>
        <x:v>Arrange the stakeholder follow-up</x:v>
      </x:c>
      <x:c r="C39" s="18" t="str">
        <x:f>'Full schedule'!C46</x:f>
        <x:v>Joseph</x:v>
      </x:c>
      <x:c r="D39" s="2" t="str">
        <x:f>IF('Full schedule'!G46="Review","Review dates",'Full schedule'!D46)</x:f>
        <x:v>Unscheduled</x:v>
      </x:c>
      <x:c r="E39" s="43" t="str">
        <x:f>IF('Full schedule'!E46="","",'Full schedule'!E46)</x:f>
      </x:c>
      <x:c r="F39" s="43" t="str">
        <x:f>IF('Full schedule'!F46="",IF(OR('Full schedule'!D46="Complete",'Full schedule'!D46="Submitted"),"n.a.","Unscheduled"),'Full schedule'!F46)</x:f>
        <x:v>Unscheduled</x:v>
      </x:c>
      <x:c r="G39" s="35" t="str">
        <x:f>IF(OR($E39="",$F39="Unscheduled"),"",IF($AA39="Either date",IF(OR(G$12=$E39,G$12=$F39),3,""),IF(AND(G$12&gt;=$E39,G$12&lt;=$F39),IF($AA39="Milestone",IF(AND(OR($D39="Complete",$D39="Submitted"),$F39&gt;Sources!$C$5),"T",2),IF(AND(OR($D39="Complete",$D39="Submitted"),G$12&gt;Sources!$C$5),4,1)),"")))</x:f>
      </x:c>
      <x:c r="H39" s="35" t="str">
        <x:f>IF(OR($E39="",$F39="Unscheduled"),"",IF($AA39="Either date",IF(OR(H$12=$E39,H$12=$F39),3,""),IF(AND(H$12&gt;=$E39,H$12&lt;=$F39),IF($AA39="Milestone",IF(AND(OR($D39="Complete",$D39="Submitted"),$F39&gt;Sources!$C$5),"T",2),IF(AND(OR($D39="Complete",$D39="Submitted"),H$12&gt;Sources!$C$5),4,1)),"")))</x:f>
      </x:c>
      <x:c r="I39" s="35" t="str">
        <x:f>IF(OR($E39="",$F39="Unscheduled"),"",IF($AA39="Either date",IF(OR(I$12=$E39,I$12=$F39),3,""),IF(AND(I$12&gt;=$E39,I$12&lt;=$F39),IF($AA39="Milestone",IF(AND(OR($D39="Complete",$D39="Submitted"),$F39&gt;Sources!$C$5),"T",2),IF(AND(OR($D39="Complete",$D39="Submitted"),I$12&gt;Sources!$C$5),4,1)),"")))</x:f>
      </x:c>
      <x:c r="J39" s="35" t="str">
        <x:f>IF(OR($E39="",$F39="Unscheduled"),"",IF($AA39="Either date",IF(OR(J$12=$E39,J$12=$F39),3,""),IF(AND(J$12&gt;=$E39,J$12&lt;=$F39),IF($AA39="Milestone",IF(AND(OR($D39="Complete",$D39="Submitted"),$F39&gt;Sources!$C$5),"T",2),IF(AND(OR($D39="Complete",$D39="Submitted"),J$12&gt;Sources!$C$5),4,1)),"")))</x:f>
      </x:c>
      <x:c r="K39" s="35" t="str">
        <x:f>IF(OR($E39="",$F39="Unscheduled"),"",IF($AA39="Either date",IF(OR(K$12=$E39,K$12=$F39),3,""),IF(AND(K$12&gt;=$E39,K$12&lt;=$F39),IF($AA39="Milestone",IF(AND(OR($D39="Complete",$D39="Submitted"),$F39&gt;Sources!$C$5),"T",2),IF(AND(OR($D39="Complete",$D39="Submitted"),K$12&gt;Sources!$C$5),4,1)),"")))</x:f>
      </x:c>
      <x:c r="L39" s="35" t="str">
        <x:f>IF(OR($E39="",$F39="Unscheduled"),"",IF($AA39="Either date",IF(OR(L$12=$E39,L$12=$F39),3,""),IF(AND(L$12&gt;=$E39,L$12&lt;=$F39),IF($AA39="Milestone",IF(AND(OR($D39="Complete",$D39="Submitted"),$F39&gt;Sources!$C$5),"T",2),IF(AND(OR($D39="Complete",$D39="Submitted"),L$12&gt;Sources!$C$5),4,1)),"")))</x:f>
      </x:c>
      <x:c r="M39" s="35" t="str">
        <x:f>IF(OR($E39="",$F39="Unscheduled"),"",IF($AA39="Either date",IF(OR(M$12=$E39,M$12=$F39),3,""),IF(AND(M$12&gt;=$E39,M$12&lt;=$F39),IF($AA39="Milestone",IF(AND(OR($D39="Complete",$D39="Submitted"),$F39&gt;Sources!$C$5),"T",2),IF(AND(OR($D39="Complete",$D39="Submitted"),M$12&gt;Sources!$C$5),4,1)),"")))</x:f>
      </x:c>
      <x:c r="N39" s="35" t="str">
        <x:f>IF(OR($E39="",$F39="Unscheduled"),"",IF($AA39="Either date",IF(OR(N$12=$E39,N$12=$F39),3,""),IF(AND(N$12&gt;=$E39,N$12&lt;=$F39),IF($AA39="Milestone",IF(AND(OR($D39="Complete",$D39="Submitted"),$F39&gt;Sources!$C$5),"T",2),IF(AND(OR($D39="Complete",$D39="Submitted"),N$12&gt;Sources!$C$5),4,1)),"")))</x:f>
      </x:c>
      <x:c r="O39" s="35" t="str">
        <x:f>IF(OR($E39="",$F39="Unscheduled"),"",IF($AA39="Either date",IF(OR(O$12=$E39,O$12=$F39),3,""),IF(AND(O$12&gt;=$E39,O$12&lt;=$F39),IF($AA39="Milestone",IF(AND(OR($D39="Complete",$D39="Submitted"),$F39&gt;Sources!$C$5),"T",2),IF(AND(OR($D39="Complete",$D39="Submitted"),O$12&gt;Sources!$C$5),4,1)),"")))</x:f>
      </x:c>
      <x:c r="P39" s="35" t="str">
        <x:f>IF(OR($E39="",$F39="Unscheduled"),"",IF($AA39="Either date",IF(OR(P$12=$E39,P$12=$F39),3,""),IF(AND(P$12&gt;=$E39,P$12&lt;=$F39),IF($AA39="Milestone",IF(AND(OR($D39="Complete",$D39="Submitted"),$F39&gt;Sources!$C$5),"T",2),IF(AND(OR($D39="Complete",$D39="Submitted"),P$12&gt;Sources!$C$5),4,1)),"")))</x:f>
      </x:c>
      <x:c r="Q39" s="35" t="str">
        <x:f>IF(OR($E39="",$F39="Unscheduled"),"",IF($AA39="Either date",IF(OR(Q$12=$E39,Q$12=$F39),3,""),IF(AND(Q$12&gt;=$E39,Q$12&lt;=$F39),IF($AA39="Milestone",IF(AND(OR($D39="Complete",$D39="Submitted"),$F39&gt;Sources!$C$5),"T",2),IF(AND(OR($D39="Complete",$D39="Submitted"),Q$12&gt;Sources!$C$5),4,1)),"")))</x:f>
      </x:c>
      <x:c r="R39" s="35" t="str">
        <x:f>IF(OR($E39="",$F39="Unscheduled"),"",IF($AA39="Either date",IF(OR(R$12=$E39,R$12=$F39),3,""),IF(AND(R$12&gt;=$E39,R$12&lt;=$F39),IF($AA39="Milestone",IF(AND(OR($D39="Complete",$D39="Submitted"),$F39&gt;Sources!$C$5),"T",2),IF(AND(OR($D39="Complete",$D39="Submitted"),R$12&gt;Sources!$C$5),4,1)),"")))</x:f>
      </x:c>
      <x:c r="S39" s="35" t="str">
        <x:f>IF(OR($E39="",$F39="Unscheduled"),"",IF($AA39="Either date",IF(OR(S$12=$E39,S$12=$F39),3,""),IF(AND(S$12&gt;=$E39,S$12&lt;=$F39),IF($AA39="Milestone",IF(AND(OR($D39="Complete",$D39="Submitted"),$F39&gt;Sources!$C$5),"T",2),IF(AND(OR($D39="Complete",$D39="Submitted"),S$12&gt;Sources!$C$5),4,1)),"")))</x:f>
      </x:c>
      <x:c r="T39" s="35" t="str">
        <x:f>IF(OR($E39="",$F39="Unscheduled"),"",IF($AA39="Either date",IF(OR(T$12=$E39,T$12=$F39),3,""),IF(AND(T$12&gt;=$E39,T$12&lt;=$F39),IF($AA39="Milestone",IF(AND(OR($D39="Complete",$D39="Submitted"),$F39&gt;Sources!$C$5),"T",2),IF(AND(OR($D39="Complete",$D39="Submitted"),T$12&gt;Sources!$C$5),4,1)),"")))</x:f>
      </x:c>
      <x:c r="U39" s="35" t="str">
        <x:f>IF(OR($E39="",$F39="Unscheduled"),"",IF($AA39="Either date",IF(OR(U$12=$E39,U$12=$F39),3,""),IF(AND(U$12&gt;=$E39,U$12&lt;=$F39),IF($AA39="Milestone",IF(AND(OR($D39="Complete",$D39="Submitted"),$F39&gt;Sources!$C$5),"T",2),IF(AND(OR($D39="Complete",$D39="Submitted"),U$12&gt;Sources!$C$5),4,1)),"")))</x:f>
      </x:c>
      <x:c r="V39" s="35" t="str">
        <x:f>IF(OR($E39="",$F39="Unscheduled"),"",IF($AA39="Either date",IF(OR(V$12=$E39,V$12=$F39),3,""),IF(AND(V$12&gt;=$E39,V$12&lt;=$F39),IF($AA39="Milestone",IF(AND(OR($D39="Complete",$D39="Submitted"),$F39&gt;Sources!$C$5),"T",2),IF(AND(OR($D39="Complete",$D39="Submitted"),V$12&gt;Sources!$C$5),4,1)),"")))</x:f>
      </x:c>
      <x:c r="W39" s="35" t="str">
        <x:f>IF(OR($E39="",$F39="Unscheduled"),"",IF($AA39="Either date",IF(OR(W$12=$E39,W$12=$F39),3,""),IF(AND(W$12&gt;=$E39,W$12&lt;=$F39),IF($AA39="Milestone",IF(AND(OR($D39="Complete",$D39="Submitted"),$F39&gt;Sources!$C$5),"T",2),IF(AND(OR($D39="Complete",$D39="Submitted"),W$12&gt;Sources!$C$5),4,1)),"")))</x:f>
      </x:c>
      <x:c r="X39" s="35" t="str">
        <x:f>IF(OR($E39="",$F39="Unscheduled"),"",IF($AA39="Either date",IF(OR(X$12=$E39,X$12=$F39),3,""),IF(AND(X$12&gt;=$E39,X$12&lt;=$F39),IF($AA39="Milestone",IF(AND(OR($D39="Complete",$D39="Submitted"),$F39&gt;Sources!$C$5),"T",2),IF(AND(OR($D39="Complete",$D39="Submitted"),X$12&gt;Sources!$C$5),4,1)),"")))</x:f>
      </x:c>
      <x:c r="Y39" s="35" t="str">
        <x:f>IF(OR($E39="",$F39="Unscheduled"),"",IF($AA39="Either date",IF(OR(Y$12=$E39,Y$12=$F39),3,""),IF(AND(Y$12&gt;=$E39,Y$12&lt;=$F39),IF($AA39="Milestone",IF(AND(OR($D39="Complete",$D39="Submitted"),$F39&gt;Sources!$C$5),"T",2),IF(AND(OR($D39="Complete",$D39="Submitted"),Y$12&gt;Sources!$C$5),4,1)),"")))</x:f>
      </x:c>
      <x:c r="Z39" s="2"/>
      <x:c r="AA39" s="2" t="str">
        <x:f>'Full schedule'!I46</x:f>
        <x:v>Window</x:v>
      </x:c>
    </x:row>
    <x:row r="40" ht="44" customHeight="1">
      <x:c r="A40" s="36" t="str">
        <x:f>'Full schedule'!A47</x:f>
        <x:v>Q1</x:v>
      </x:c>
      <x:c r="B40" s="37" t="str">
        <x:f>'Full schedule'!B47</x:f>
        <x:v>Propose a window-side view of the enclosure for feedback</x:v>
      </x:c>
      <x:c r="C40" s="37" t="str">
        <x:f>'Full schedule'!C47</x:f>
        <x:v>Joe</x:v>
      </x:c>
      <x:c r="D40" s="36" t="str">
        <x:f>IF('Full schedule'!G47="Review","Review dates",'Full schedule'!D47)</x:f>
        <x:v>Proposed</x:v>
      </x:c>
      <x:c r="E40" s="44" t="str">
        <x:f>IF('Full schedule'!E47="","",'Full schedule'!E47)</x:f>
      </x:c>
      <x:c r="F40" s="44" t="str">
        <x:f>IF('Full schedule'!F47="",IF(OR('Full schedule'!D47="Complete",'Full schedule'!D47="Submitted"),"n.a.","Unscheduled"),'Full schedule'!F47)</x:f>
        <x:v>Unscheduled</x:v>
      </x:c>
      <x:c r="G40" s="35" t="str">
        <x:f>IF(OR($E40="",$F40="Unscheduled"),"",IF($AA40="Either date",IF(OR(G$12=$E40,G$12=$F40),3,""),IF(AND(G$12&gt;=$E40,G$12&lt;=$F40),IF($AA40="Milestone",IF(AND(OR($D40="Complete",$D40="Submitted"),$F40&gt;Sources!$C$5),"T",2),IF(AND(OR($D40="Complete",$D40="Submitted"),G$12&gt;Sources!$C$5),4,1)),"")))</x:f>
      </x:c>
      <x:c r="H40" s="35" t="str">
        <x:f>IF(OR($E40="",$F40="Unscheduled"),"",IF($AA40="Either date",IF(OR(H$12=$E40,H$12=$F40),3,""),IF(AND(H$12&gt;=$E40,H$12&lt;=$F40),IF($AA40="Milestone",IF(AND(OR($D40="Complete",$D40="Submitted"),$F40&gt;Sources!$C$5),"T",2),IF(AND(OR($D40="Complete",$D40="Submitted"),H$12&gt;Sources!$C$5),4,1)),"")))</x:f>
      </x:c>
      <x:c r="I40" s="35" t="str">
        <x:f>IF(OR($E40="",$F40="Unscheduled"),"",IF($AA40="Either date",IF(OR(I$12=$E40,I$12=$F40),3,""),IF(AND(I$12&gt;=$E40,I$12&lt;=$F40),IF($AA40="Milestone",IF(AND(OR($D40="Complete",$D40="Submitted"),$F40&gt;Sources!$C$5),"T",2),IF(AND(OR($D40="Complete",$D40="Submitted"),I$12&gt;Sources!$C$5),4,1)),"")))</x:f>
      </x:c>
      <x:c r="J40" s="35" t="str">
        <x:f>IF(OR($E40="",$F40="Unscheduled"),"",IF($AA40="Either date",IF(OR(J$12=$E40,J$12=$F40),3,""),IF(AND(J$12&gt;=$E40,J$12&lt;=$F40),IF($AA40="Milestone",IF(AND(OR($D40="Complete",$D40="Submitted"),$F40&gt;Sources!$C$5),"T",2),IF(AND(OR($D40="Complete",$D40="Submitted"),J$12&gt;Sources!$C$5),4,1)),"")))</x:f>
      </x:c>
      <x:c r="K40" s="35" t="str">
        <x:f>IF(OR($E40="",$F40="Unscheduled"),"",IF($AA40="Either date",IF(OR(K$12=$E40,K$12=$F40),3,""),IF(AND(K$12&gt;=$E40,K$12&lt;=$F40),IF($AA40="Milestone",IF(AND(OR($D40="Complete",$D40="Submitted"),$F40&gt;Sources!$C$5),"T",2),IF(AND(OR($D40="Complete",$D40="Submitted"),K$12&gt;Sources!$C$5),4,1)),"")))</x:f>
      </x:c>
      <x:c r="L40" s="35" t="str">
        <x:f>IF(OR($E40="",$F40="Unscheduled"),"",IF($AA40="Either date",IF(OR(L$12=$E40,L$12=$F40),3,""),IF(AND(L$12&gt;=$E40,L$12&lt;=$F40),IF($AA40="Milestone",IF(AND(OR($D40="Complete",$D40="Submitted"),$F40&gt;Sources!$C$5),"T",2),IF(AND(OR($D40="Complete",$D40="Submitted"),L$12&gt;Sources!$C$5),4,1)),"")))</x:f>
      </x:c>
      <x:c r="M40" s="35" t="str">
        <x:f>IF(OR($E40="",$F40="Unscheduled"),"",IF($AA40="Either date",IF(OR(M$12=$E40,M$12=$F40),3,""),IF(AND(M$12&gt;=$E40,M$12&lt;=$F40),IF($AA40="Milestone",IF(AND(OR($D40="Complete",$D40="Submitted"),$F40&gt;Sources!$C$5),"T",2),IF(AND(OR($D40="Complete",$D40="Submitted"),M$12&gt;Sources!$C$5),4,1)),"")))</x:f>
      </x:c>
      <x:c r="N40" s="35" t="str">
        <x:f>IF(OR($E40="",$F40="Unscheduled"),"",IF($AA40="Either date",IF(OR(N$12=$E40,N$12=$F40),3,""),IF(AND(N$12&gt;=$E40,N$12&lt;=$F40),IF($AA40="Milestone",IF(AND(OR($D40="Complete",$D40="Submitted"),$F40&gt;Sources!$C$5),"T",2),IF(AND(OR($D40="Complete",$D40="Submitted"),N$12&gt;Sources!$C$5),4,1)),"")))</x:f>
      </x:c>
      <x:c r="O40" s="35" t="str">
        <x:f>IF(OR($E40="",$F40="Unscheduled"),"",IF($AA40="Either date",IF(OR(O$12=$E40,O$12=$F40),3,""),IF(AND(O$12&gt;=$E40,O$12&lt;=$F40),IF($AA40="Milestone",IF(AND(OR($D40="Complete",$D40="Submitted"),$F40&gt;Sources!$C$5),"T",2),IF(AND(OR($D40="Complete",$D40="Submitted"),O$12&gt;Sources!$C$5),4,1)),"")))</x:f>
      </x:c>
      <x:c r="P40" s="35" t="str">
        <x:f>IF(OR($E40="",$F40="Unscheduled"),"",IF($AA40="Either date",IF(OR(P$12=$E40,P$12=$F40),3,""),IF(AND(P$12&gt;=$E40,P$12&lt;=$F40),IF($AA40="Milestone",IF(AND(OR($D40="Complete",$D40="Submitted"),$F40&gt;Sources!$C$5),"T",2),IF(AND(OR($D40="Complete",$D40="Submitted"),P$12&gt;Sources!$C$5),4,1)),"")))</x:f>
      </x:c>
      <x:c r="Q40" s="35" t="str">
        <x:f>IF(OR($E40="",$F40="Unscheduled"),"",IF($AA40="Either date",IF(OR(Q$12=$E40,Q$12=$F40),3,""),IF(AND(Q$12&gt;=$E40,Q$12&lt;=$F40),IF($AA40="Milestone",IF(AND(OR($D40="Complete",$D40="Submitted"),$F40&gt;Sources!$C$5),"T",2),IF(AND(OR($D40="Complete",$D40="Submitted"),Q$12&gt;Sources!$C$5),4,1)),"")))</x:f>
      </x:c>
      <x:c r="R40" s="35" t="str">
        <x:f>IF(OR($E40="",$F40="Unscheduled"),"",IF($AA40="Either date",IF(OR(R$12=$E40,R$12=$F40),3,""),IF(AND(R$12&gt;=$E40,R$12&lt;=$F40),IF($AA40="Milestone",IF(AND(OR($D40="Complete",$D40="Submitted"),$F40&gt;Sources!$C$5),"T",2),IF(AND(OR($D40="Complete",$D40="Submitted"),R$12&gt;Sources!$C$5),4,1)),"")))</x:f>
      </x:c>
      <x:c r="S40" s="35" t="str">
        <x:f>IF(OR($E40="",$F40="Unscheduled"),"",IF($AA40="Either date",IF(OR(S$12=$E40,S$12=$F40),3,""),IF(AND(S$12&gt;=$E40,S$12&lt;=$F40),IF($AA40="Milestone",IF(AND(OR($D40="Complete",$D40="Submitted"),$F40&gt;Sources!$C$5),"T",2),IF(AND(OR($D40="Complete",$D40="Submitted"),S$12&gt;Sources!$C$5),4,1)),"")))</x:f>
      </x:c>
      <x:c r="T40" s="35" t="str">
        <x:f>IF(OR($E40="",$F40="Unscheduled"),"",IF($AA40="Either date",IF(OR(T$12=$E40,T$12=$F40),3,""),IF(AND(T$12&gt;=$E40,T$12&lt;=$F40),IF($AA40="Milestone",IF(AND(OR($D40="Complete",$D40="Submitted"),$F40&gt;Sources!$C$5),"T",2),IF(AND(OR($D40="Complete",$D40="Submitted"),T$12&gt;Sources!$C$5),4,1)),"")))</x:f>
      </x:c>
      <x:c r="U40" s="35" t="str">
        <x:f>IF(OR($E40="",$F40="Unscheduled"),"",IF($AA40="Either date",IF(OR(U$12=$E40,U$12=$F40),3,""),IF(AND(U$12&gt;=$E40,U$12&lt;=$F40),IF($AA40="Milestone",IF(AND(OR($D40="Complete",$D40="Submitted"),$F40&gt;Sources!$C$5),"T",2),IF(AND(OR($D40="Complete",$D40="Submitted"),U$12&gt;Sources!$C$5),4,1)),"")))</x:f>
      </x:c>
      <x:c r="V40" s="35" t="str">
        <x:f>IF(OR($E40="",$F40="Unscheduled"),"",IF($AA40="Either date",IF(OR(V$12=$E40,V$12=$F40),3,""),IF(AND(V$12&gt;=$E40,V$12&lt;=$F40),IF($AA40="Milestone",IF(AND(OR($D40="Complete",$D40="Submitted"),$F40&gt;Sources!$C$5),"T",2),IF(AND(OR($D40="Complete",$D40="Submitted"),V$12&gt;Sources!$C$5),4,1)),"")))</x:f>
      </x:c>
      <x:c r="W40" s="35" t="str">
        <x:f>IF(OR($E40="",$F40="Unscheduled"),"",IF($AA40="Either date",IF(OR(W$12=$E40,W$12=$F40),3,""),IF(AND(W$12&gt;=$E40,W$12&lt;=$F40),IF($AA40="Milestone",IF(AND(OR($D40="Complete",$D40="Submitted"),$F40&gt;Sources!$C$5),"T",2),IF(AND(OR($D40="Complete",$D40="Submitted"),W$12&gt;Sources!$C$5),4,1)),"")))</x:f>
      </x:c>
      <x:c r="X40" s="35" t="str">
        <x:f>IF(OR($E40="",$F40="Unscheduled"),"",IF($AA40="Either date",IF(OR(X$12=$E40,X$12=$F40),3,""),IF(AND(X$12&gt;=$E40,X$12&lt;=$F40),IF($AA40="Milestone",IF(AND(OR($D40="Complete",$D40="Submitted"),$F40&gt;Sources!$C$5),"T",2),IF(AND(OR($D40="Complete",$D40="Submitted"),X$12&gt;Sources!$C$5),4,1)),"")))</x:f>
      </x:c>
      <x:c r="Y40" s="35" t="str">
        <x:f>IF(OR($E40="",$F40="Unscheduled"),"",IF($AA40="Either date",IF(OR(Y$12=$E40,Y$12=$F40),3,""),IF(AND(Y$12&gt;=$E40,Y$12&lt;=$F40),IF($AA40="Milestone",IF(AND(OR($D40="Complete",$D40="Submitted"),$F40&gt;Sources!$C$5),"T",2),IF(AND(OR($D40="Complete",$D40="Submitted"),Y$12&gt;Sources!$C$5),4,1)),"")))</x:f>
      </x:c>
      <x:c r="Z40" s="2"/>
      <x:c r="AA40" s="2" t="str">
        <x:f>'Full schedule'!I47</x:f>
        <x:v>Window</x:v>
      </x:c>
    </x:row>
    <x:row r="41" ht="44" customHeight="1">
      <x:c r="A41" s="2" t="str">
        <x:f>'Full schedule'!A48</x:f>
        <x:v>Q2</x:v>
      </x:c>
      <x:c r="B41" s="18" t="str">
        <x:f>'Full schedule'!B48</x:f>
        <x:v>Propose a question about computer availability</x:v>
      </x:c>
      <x:c r="C41" s="18" t="str">
        <x:f>'Full schedule'!C48</x:f>
        <x:v>Joe</x:v>
      </x:c>
      <x:c r="D41" s="2" t="str">
        <x:f>IF('Full schedule'!G48="Review","Review dates",'Full schedule'!D48)</x:f>
        <x:v>Proposed</x:v>
      </x:c>
      <x:c r="E41" s="43" t="str">
        <x:f>IF('Full schedule'!E48="","",'Full schedule'!E48)</x:f>
      </x:c>
      <x:c r="F41" s="43" t="str">
        <x:f>IF('Full schedule'!F48="",IF(OR('Full schedule'!D48="Complete",'Full schedule'!D48="Submitted"),"n.a.","Unscheduled"),'Full schedule'!F48)</x:f>
        <x:v>Unscheduled</x:v>
      </x:c>
      <x:c r="G41" s="35" t="str">
        <x:f>IF(OR($E41="",$F41="Unscheduled"),"",IF($AA41="Either date",IF(OR(G$12=$E41,G$12=$F41),3,""),IF(AND(G$12&gt;=$E41,G$12&lt;=$F41),IF($AA41="Milestone",IF(AND(OR($D41="Complete",$D41="Submitted"),$F41&gt;Sources!$C$5),"T",2),IF(AND(OR($D41="Complete",$D41="Submitted"),G$12&gt;Sources!$C$5),4,1)),"")))</x:f>
      </x:c>
      <x:c r="H41" s="35" t="str">
        <x:f>IF(OR($E41="",$F41="Unscheduled"),"",IF($AA41="Either date",IF(OR(H$12=$E41,H$12=$F41),3,""),IF(AND(H$12&gt;=$E41,H$12&lt;=$F41),IF($AA41="Milestone",IF(AND(OR($D41="Complete",$D41="Submitted"),$F41&gt;Sources!$C$5),"T",2),IF(AND(OR($D41="Complete",$D41="Submitted"),H$12&gt;Sources!$C$5),4,1)),"")))</x:f>
      </x:c>
      <x:c r="I41" s="35" t="str">
        <x:f>IF(OR($E41="",$F41="Unscheduled"),"",IF($AA41="Either date",IF(OR(I$12=$E41,I$12=$F41),3,""),IF(AND(I$12&gt;=$E41,I$12&lt;=$F41),IF($AA41="Milestone",IF(AND(OR($D41="Complete",$D41="Submitted"),$F41&gt;Sources!$C$5),"T",2),IF(AND(OR($D41="Complete",$D41="Submitted"),I$12&gt;Sources!$C$5),4,1)),"")))</x:f>
      </x:c>
      <x:c r="J41" s="35" t="str">
        <x:f>IF(OR($E41="",$F41="Unscheduled"),"",IF($AA41="Either date",IF(OR(J$12=$E41,J$12=$F41),3,""),IF(AND(J$12&gt;=$E41,J$12&lt;=$F41),IF($AA41="Milestone",IF(AND(OR($D41="Complete",$D41="Submitted"),$F41&gt;Sources!$C$5),"T",2),IF(AND(OR($D41="Complete",$D41="Submitted"),J$12&gt;Sources!$C$5),4,1)),"")))</x:f>
      </x:c>
      <x:c r="K41" s="35" t="str">
        <x:f>IF(OR($E41="",$F41="Unscheduled"),"",IF($AA41="Either date",IF(OR(K$12=$E41,K$12=$F41),3,""),IF(AND(K$12&gt;=$E41,K$12&lt;=$F41),IF($AA41="Milestone",IF(AND(OR($D41="Complete",$D41="Submitted"),$F41&gt;Sources!$C$5),"T",2),IF(AND(OR($D41="Complete",$D41="Submitted"),K$12&gt;Sources!$C$5),4,1)),"")))</x:f>
      </x:c>
      <x:c r="L41" s="35" t="str">
        <x:f>IF(OR($E41="",$F41="Unscheduled"),"",IF($AA41="Either date",IF(OR(L$12=$E41,L$12=$F41),3,""),IF(AND(L$12&gt;=$E41,L$12&lt;=$F41),IF($AA41="Milestone",IF(AND(OR($D41="Complete",$D41="Submitted"),$F41&gt;Sources!$C$5),"T",2),IF(AND(OR($D41="Complete",$D41="Submitted"),L$12&gt;Sources!$C$5),4,1)),"")))</x:f>
      </x:c>
      <x:c r="M41" s="35" t="str">
        <x:f>IF(OR($E41="",$F41="Unscheduled"),"",IF($AA41="Either date",IF(OR(M$12=$E41,M$12=$F41),3,""),IF(AND(M$12&gt;=$E41,M$12&lt;=$F41),IF($AA41="Milestone",IF(AND(OR($D41="Complete",$D41="Submitted"),$F41&gt;Sources!$C$5),"T",2),IF(AND(OR($D41="Complete",$D41="Submitted"),M$12&gt;Sources!$C$5),4,1)),"")))</x:f>
      </x:c>
      <x:c r="N41" s="35" t="str">
        <x:f>IF(OR($E41="",$F41="Unscheduled"),"",IF($AA41="Either date",IF(OR(N$12=$E41,N$12=$F41),3,""),IF(AND(N$12&gt;=$E41,N$12&lt;=$F41),IF($AA41="Milestone",IF(AND(OR($D41="Complete",$D41="Submitted"),$F41&gt;Sources!$C$5),"T",2),IF(AND(OR($D41="Complete",$D41="Submitted"),N$12&gt;Sources!$C$5),4,1)),"")))</x:f>
      </x:c>
      <x:c r="O41" s="35" t="str">
        <x:f>IF(OR($E41="",$F41="Unscheduled"),"",IF($AA41="Either date",IF(OR(O$12=$E41,O$12=$F41),3,""),IF(AND(O$12&gt;=$E41,O$12&lt;=$F41),IF($AA41="Milestone",IF(AND(OR($D41="Complete",$D41="Submitted"),$F41&gt;Sources!$C$5),"T",2),IF(AND(OR($D41="Complete",$D41="Submitted"),O$12&gt;Sources!$C$5),4,1)),"")))</x:f>
      </x:c>
      <x:c r="P41" s="35" t="str">
        <x:f>IF(OR($E41="",$F41="Unscheduled"),"",IF($AA41="Either date",IF(OR(P$12=$E41,P$12=$F41),3,""),IF(AND(P$12&gt;=$E41,P$12&lt;=$F41),IF($AA41="Milestone",IF(AND(OR($D41="Complete",$D41="Submitted"),$F41&gt;Sources!$C$5),"T",2),IF(AND(OR($D41="Complete",$D41="Submitted"),P$12&gt;Sources!$C$5),4,1)),"")))</x:f>
      </x:c>
      <x:c r="Q41" s="35" t="str">
        <x:f>IF(OR($E41="",$F41="Unscheduled"),"",IF($AA41="Either date",IF(OR(Q$12=$E41,Q$12=$F41),3,""),IF(AND(Q$12&gt;=$E41,Q$12&lt;=$F41),IF($AA41="Milestone",IF(AND(OR($D41="Complete",$D41="Submitted"),$F41&gt;Sources!$C$5),"T",2),IF(AND(OR($D41="Complete",$D41="Submitted"),Q$12&gt;Sources!$C$5),4,1)),"")))</x:f>
      </x:c>
      <x:c r="R41" s="35" t="str">
        <x:f>IF(OR($E41="",$F41="Unscheduled"),"",IF($AA41="Either date",IF(OR(R$12=$E41,R$12=$F41),3,""),IF(AND(R$12&gt;=$E41,R$12&lt;=$F41),IF($AA41="Milestone",IF(AND(OR($D41="Complete",$D41="Submitted"),$F41&gt;Sources!$C$5),"T",2),IF(AND(OR($D41="Complete",$D41="Submitted"),R$12&gt;Sources!$C$5),4,1)),"")))</x:f>
      </x:c>
      <x:c r="S41" s="35" t="str">
        <x:f>IF(OR($E41="",$F41="Unscheduled"),"",IF($AA41="Either date",IF(OR(S$12=$E41,S$12=$F41),3,""),IF(AND(S$12&gt;=$E41,S$12&lt;=$F41),IF($AA41="Milestone",IF(AND(OR($D41="Complete",$D41="Submitted"),$F41&gt;Sources!$C$5),"T",2),IF(AND(OR($D41="Complete",$D41="Submitted"),S$12&gt;Sources!$C$5),4,1)),"")))</x:f>
      </x:c>
      <x:c r="T41" s="35" t="str">
        <x:f>IF(OR($E41="",$F41="Unscheduled"),"",IF($AA41="Either date",IF(OR(T$12=$E41,T$12=$F41),3,""),IF(AND(T$12&gt;=$E41,T$12&lt;=$F41),IF($AA41="Milestone",IF(AND(OR($D41="Complete",$D41="Submitted"),$F41&gt;Sources!$C$5),"T",2),IF(AND(OR($D41="Complete",$D41="Submitted"),T$12&gt;Sources!$C$5),4,1)),"")))</x:f>
      </x:c>
      <x:c r="U41" s="35" t="str">
        <x:f>IF(OR($E41="",$F41="Unscheduled"),"",IF($AA41="Either date",IF(OR(U$12=$E41,U$12=$F41),3,""),IF(AND(U$12&gt;=$E41,U$12&lt;=$F41),IF($AA41="Milestone",IF(AND(OR($D41="Complete",$D41="Submitted"),$F41&gt;Sources!$C$5),"T",2),IF(AND(OR($D41="Complete",$D41="Submitted"),U$12&gt;Sources!$C$5),4,1)),"")))</x:f>
      </x:c>
      <x:c r="V41" s="35" t="str">
        <x:f>IF(OR($E41="",$F41="Unscheduled"),"",IF($AA41="Either date",IF(OR(V$12=$E41,V$12=$F41),3,""),IF(AND(V$12&gt;=$E41,V$12&lt;=$F41),IF($AA41="Milestone",IF(AND(OR($D41="Complete",$D41="Submitted"),$F41&gt;Sources!$C$5),"T",2),IF(AND(OR($D41="Complete",$D41="Submitted"),V$12&gt;Sources!$C$5),4,1)),"")))</x:f>
      </x:c>
      <x:c r="W41" s="35" t="str">
        <x:f>IF(OR($E41="",$F41="Unscheduled"),"",IF($AA41="Either date",IF(OR(W$12=$E41,W$12=$F41),3,""),IF(AND(W$12&gt;=$E41,W$12&lt;=$F41),IF($AA41="Milestone",IF(AND(OR($D41="Complete",$D41="Submitted"),$F41&gt;Sources!$C$5),"T",2),IF(AND(OR($D41="Complete",$D41="Submitted"),W$12&gt;Sources!$C$5),4,1)),"")))</x:f>
      </x:c>
      <x:c r="X41" s="35" t="str">
        <x:f>IF(OR($E41="",$F41="Unscheduled"),"",IF($AA41="Either date",IF(OR(X$12=$E41,X$12=$F41),3,""),IF(AND(X$12&gt;=$E41,X$12&lt;=$F41),IF($AA41="Milestone",IF(AND(OR($D41="Complete",$D41="Submitted"),$F41&gt;Sources!$C$5),"T",2),IF(AND(OR($D41="Complete",$D41="Submitted"),X$12&gt;Sources!$C$5),4,1)),"")))</x:f>
      </x:c>
      <x:c r="Y41" s="35" t="str">
        <x:f>IF(OR($E41="",$F41="Unscheduled"),"",IF($AA41="Either date",IF(OR(Y$12=$E41,Y$12=$F41),3,""),IF(AND(Y$12&gt;=$E41,Y$12&lt;=$F41),IF($AA41="Milestone",IF(AND(OR($D41="Complete",$D41="Submitted"),$F41&gt;Sources!$C$5),"T",2),IF(AND(OR($D41="Complete",$D41="Submitted"),Y$12&gt;Sources!$C$5),4,1)),"")))</x:f>
      </x:c>
      <x:c r="Z41" s="2"/>
      <x:c r="AA41" s="2" t="str">
        <x:f>'Full schedule'!I48</x:f>
        <x:v>Window</x:v>
      </x:c>
    </x:row>
    <x:row r="42" ht="44" customHeight="1">
      <x:c r="A42" s="36" t="str">
        <x:f>'Full schedule'!A49</x:f>
        <x:v>Q3</x:v>
      </x:c>
      <x:c r="B42" s="37" t="str">
        <x:f>'Full schedule'!B49</x:f>
        <x:v>Propose a question about status visibility from indoors</x:v>
      </x:c>
      <x:c r="C42" s="37" t="str">
        <x:f>'Full schedule'!C49</x:f>
        <x:v>Joe</x:v>
      </x:c>
      <x:c r="D42" s="36" t="str">
        <x:f>IF('Full schedule'!G49="Review","Review dates",'Full schedule'!D49)</x:f>
        <x:v>Proposed</x:v>
      </x:c>
      <x:c r="E42" s="44" t="str">
        <x:f>IF('Full schedule'!E49="","",'Full schedule'!E49)</x:f>
      </x:c>
      <x:c r="F42" s="44" t="str">
        <x:f>IF('Full schedule'!F49="",IF(OR('Full schedule'!D49="Complete",'Full schedule'!D49="Submitted"),"n.a.","Unscheduled"),'Full schedule'!F49)</x:f>
        <x:v>Unscheduled</x:v>
      </x:c>
      <x:c r="G42" s="35" t="str">
        <x:f>IF(OR($E42="",$F42="Unscheduled"),"",IF($AA42="Either date",IF(OR(G$12=$E42,G$12=$F42),3,""),IF(AND(G$12&gt;=$E42,G$12&lt;=$F42),IF($AA42="Milestone",IF(AND(OR($D42="Complete",$D42="Submitted"),$F42&gt;Sources!$C$5),"T",2),IF(AND(OR($D42="Complete",$D42="Submitted"),G$12&gt;Sources!$C$5),4,1)),"")))</x:f>
      </x:c>
      <x:c r="H42" s="35" t="str">
        <x:f>IF(OR($E42="",$F42="Unscheduled"),"",IF($AA42="Either date",IF(OR(H$12=$E42,H$12=$F42),3,""),IF(AND(H$12&gt;=$E42,H$12&lt;=$F42),IF($AA42="Milestone",IF(AND(OR($D42="Complete",$D42="Submitted"),$F42&gt;Sources!$C$5),"T",2),IF(AND(OR($D42="Complete",$D42="Submitted"),H$12&gt;Sources!$C$5),4,1)),"")))</x:f>
      </x:c>
      <x:c r="I42" s="35" t="str">
        <x:f>IF(OR($E42="",$F42="Unscheduled"),"",IF($AA42="Either date",IF(OR(I$12=$E42,I$12=$F42),3,""),IF(AND(I$12&gt;=$E42,I$12&lt;=$F42),IF($AA42="Milestone",IF(AND(OR($D42="Complete",$D42="Submitted"),$F42&gt;Sources!$C$5),"T",2),IF(AND(OR($D42="Complete",$D42="Submitted"),I$12&gt;Sources!$C$5),4,1)),"")))</x:f>
      </x:c>
      <x:c r="J42" s="35" t="str">
        <x:f>IF(OR($E42="",$F42="Unscheduled"),"",IF($AA42="Either date",IF(OR(J$12=$E42,J$12=$F42),3,""),IF(AND(J$12&gt;=$E42,J$12&lt;=$F42),IF($AA42="Milestone",IF(AND(OR($D42="Complete",$D42="Submitted"),$F42&gt;Sources!$C$5),"T",2),IF(AND(OR($D42="Complete",$D42="Submitted"),J$12&gt;Sources!$C$5),4,1)),"")))</x:f>
      </x:c>
      <x:c r="K42" s="35" t="str">
        <x:f>IF(OR($E42="",$F42="Unscheduled"),"",IF($AA42="Either date",IF(OR(K$12=$E42,K$12=$F42),3,""),IF(AND(K$12&gt;=$E42,K$12&lt;=$F42),IF($AA42="Milestone",IF(AND(OR($D42="Complete",$D42="Submitted"),$F42&gt;Sources!$C$5),"T",2),IF(AND(OR($D42="Complete",$D42="Submitted"),K$12&gt;Sources!$C$5),4,1)),"")))</x:f>
      </x:c>
      <x:c r="L42" s="35" t="str">
        <x:f>IF(OR($E42="",$F42="Unscheduled"),"",IF($AA42="Either date",IF(OR(L$12=$E42,L$12=$F42),3,""),IF(AND(L$12&gt;=$E42,L$12&lt;=$F42),IF($AA42="Milestone",IF(AND(OR($D42="Complete",$D42="Submitted"),$F42&gt;Sources!$C$5),"T",2),IF(AND(OR($D42="Complete",$D42="Submitted"),L$12&gt;Sources!$C$5),4,1)),"")))</x:f>
      </x:c>
      <x:c r="M42" s="35" t="str">
        <x:f>IF(OR($E42="",$F42="Unscheduled"),"",IF($AA42="Either date",IF(OR(M$12=$E42,M$12=$F42),3,""),IF(AND(M$12&gt;=$E42,M$12&lt;=$F42),IF($AA42="Milestone",IF(AND(OR($D42="Complete",$D42="Submitted"),$F42&gt;Sources!$C$5),"T",2),IF(AND(OR($D42="Complete",$D42="Submitted"),M$12&gt;Sources!$C$5),4,1)),"")))</x:f>
      </x:c>
      <x:c r="N42" s="35" t="str">
        <x:f>IF(OR($E42="",$F42="Unscheduled"),"",IF($AA42="Either date",IF(OR(N$12=$E42,N$12=$F42),3,""),IF(AND(N$12&gt;=$E42,N$12&lt;=$F42),IF($AA42="Milestone",IF(AND(OR($D42="Complete",$D42="Submitted"),$F42&gt;Sources!$C$5),"T",2),IF(AND(OR($D42="Complete",$D42="Submitted"),N$12&gt;Sources!$C$5),4,1)),"")))</x:f>
      </x:c>
      <x:c r="O42" s="35" t="str">
        <x:f>IF(OR($E42="",$F42="Unscheduled"),"",IF($AA42="Either date",IF(OR(O$12=$E42,O$12=$F42),3,""),IF(AND(O$12&gt;=$E42,O$12&lt;=$F42),IF($AA42="Milestone",IF(AND(OR($D42="Complete",$D42="Submitted"),$F42&gt;Sources!$C$5),"T",2),IF(AND(OR($D42="Complete",$D42="Submitted"),O$12&gt;Sources!$C$5),4,1)),"")))</x:f>
      </x:c>
      <x:c r="P42" s="35" t="str">
        <x:f>IF(OR($E42="",$F42="Unscheduled"),"",IF($AA42="Either date",IF(OR(P$12=$E42,P$12=$F42),3,""),IF(AND(P$12&gt;=$E42,P$12&lt;=$F42),IF($AA42="Milestone",IF(AND(OR($D42="Complete",$D42="Submitted"),$F42&gt;Sources!$C$5),"T",2),IF(AND(OR($D42="Complete",$D42="Submitted"),P$12&gt;Sources!$C$5),4,1)),"")))</x:f>
      </x:c>
      <x:c r="Q42" s="35" t="str">
        <x:f>IF(OR($E42="",$F42="Unscheduled"),"",IF($AA42="Either date",IF(OR(Q$12=$E42,Q$12=$F42),3,""),IF(AND(Q$12&gt;=$E42,Q$12&lt;=$F42),IF($AA42="Milestone",IF(AND(OR($D42="Complete",$D42="Submitted"),$F42&gt;Sources!$C$5),"T",2),IF(AND(OR($D42="Complete",$D42="Submitted"),Q$12&gt;Sources!$C$5),4,1)),"")))</x:f>
      </x:c>
      <x:c r="R42" s="35" t="str">
        <x:f>IF(OR($E42="",$F42="Unscheduled"),"",IF($AA42="Either date",IF(OR(R$12=$E42,R$12=$F42),3,""),IF(AND(R$12&gt;=$E42,R$12&lt;=$F42),IF($AA42="Milestone",IF(AND(OR($D42="Complete",$D42="Submitted"),$F42&gt;Sources!$C$5),"T",2),IF(AND(OR($D42="Complete",$D42="Submitted"),R$12&gt;Sources!$C$5),4,1)),"")))</x:f>
      </x:c>
      <x:c r="S42" s="35" t="str">
        <x:f>IF(OR($E42="",$F42="Unscheduled"),"",IF($AA42="Either date",IF(OR(S$12=$E42,S$12=$F42),3,""),IF(AND(S$12&gt;=$E42,S$12&lt;=$F42),IF($AA42="Milestone",IF(AND(OR($D42="Complete",$D42="Submitted"),$F42&gt;Sources!$C$5),"T",2),IF(AND(OR($D42="Complete",$D42="Submitted"),S$12&gt;Sources!$C$5),4,1)),"")))</x:f>
      </x:c>
      <x:c r="T42" s="35" t="str">
        <x:f>IF(OR($E42="",$F42="Unscheduled"),"",IF($AA42="Either date",IF(OR(T$12=$E42,T$12=$F42),3,""),IF(AND(T$12&gt;=$E42,T$12&lt;=$F42),IF($AA42="Milestone",IF(AND(OR($D42="Complete",$D42="Submitted"),$F42&gt;Sources!$C$5),"T",2),IF(AND(OR($D42="Complete",$D42="Submitted"),T$12&gt;Sources!$C$5),4,1)),"")))</x:f>
      </x:c>
      <x:c r="U42" s="35" t="str">
        <x:f>IF(OR($E42="",$F42="Unscheduled"),"",IF($AA42="Either date",IF(OR(U$12=$E42,U$12=$F42),3,""),IF(AND(U$12&gt;=$E42,U$12&lt;=$F42),IF($AA42="Milestone",IF(AND(OR($D42="Complete",$D42="Submitted"),$F42&gt;Sources!$C$5),"T",2),IF(AND(OR($D42="Complete",$D42="Submitted"),U$12&gt;Sources!$C$5),4,1)),"")))</x:f>
      </x:c>
      <x:c r="V42" s="35" t="str">
        <x:f>IF(OR($E42="",$F42="Unscheduled"),"",IF($AA42="Either date",IF(OR(V$12=$E42,V$12=$F42),3,""),IF(AND(V$12&gt;=$E42,V$12&lt;=$F42),IF($AA42="Milestone",IF(AND(OR($D42="Complete",$D42="Submitted"),$F42&gt;Sources!$C$5),"T",2),IF(AND(OR($D42="Complete",$D42="Submitted"),V$12&gt;Sources!$C$5),4,1)),"")))</x:f>
      </x:c>
      <x:c r="W42" s="35" t="str">
        <x:f>IF(OR($E42="",$F42="Unscheduled"),"",IF($AA42="Either date",IF(OR(W$12=$E42,W$12=$F42),3,""),IF(AND(W$12&gt;=$E42,W$12&lt;=$F42),IF($AA42="Milestone",IF(AND(OR($D42="Complete",$D42="Submitted"),$F42&gt;Sources!$C$5),"T",2),IF(AND(OR($D42="Complete",$D42="Submitted"),W$12&gt;Sources!$C$5),4,1)),"")))</x:f>
      </x:c>
      <x:c r="X42" s="35" t="str">
        <x:f>IF(OR($E42="",$F42="Unscheduled"),"",IF($AA42="Either date",IF(OR(X$12=$E42,X$12=$F42),3,""),IF(AND(X$12&gt;=$E42,X$12&lt;=$F42),IF($AA42="Milestone",IF(AND(OR($D42="Complete",$D42="Submitted"),$F42&gt;Sources!$C$5),"T",2),IF(AND(OR($D42="Complete",$D42="Submitted"),X$12&gt;Sources!$C$5),4,1)),"")))</x:f>
      </x:c>
      <x:c r="Y42" s="35" t="str">
        <x:f>IF(OR($E42="",$F42="Unscheduled"),"",IF($AA42="Either date",IF(OR(Y$12=$E42,Y$12=$F42),3,""),IF(AND(Y$12&gt;=$E42,Y$12&lt;=$F42),IF($AA42="Milestone",IF(AND(OR($D42="Complete",$D42="Submitted"),$F42&gt;Sources!$C$5),"T",2),IF(AND(OR($D42="Complete",$D42="Submitted"),Y$12&gt;Sources!$C$5),4,1)),"")))</x:f>
      </x:c>
      <x:c r="Z42" s="2"/>
      <x:c r="AA42" s="2" t="str">
        <x:f>'Full schedule'!I49</x:f>
        <x:v>Window</x:v>
      </x:c>
    </x:row>
    <x:row r="43" ht="44" customHeight="1">
      <x:c r="A43" s="2" t="str">
        <x:f>'Full schedule'!A45</x:f>
        <x:v>V2</x:v>
      </x:c>
      <x:c r="B43" s="18" t="str">
        <x:f>'Full schedule'!B45</x:f>
        <x:v>Review fit and usability remotely with the stakeholder</x:v>
      </x:c>
      <x:c r="C43" s="18" t="str">
        <x:f>'Full schedule'!C45</x:f>
        <x:v>Joseph</x:v>
      </x:c>
      <x:c r="D43" s="2" t="str">
        <x:f>IF('Full schedule'!G45="Review","Review dates",'Full schedule'!D45)</x:f>
        <x:v>Unscheduled</x:v>
      </x:c>
      <x:c r="E43" s="43" t="str">
        <x:f>IF('Full schedule'!E45="","",'Full schedule'!E45)</x:f>
      </x:c>
      <x:c r="F43" s="43" t="str">
        <x:f>IF('Full schedule'!F45="",IF(OR('Full schedule'!D45="Complete",'Full schedule'!D45="Submitted"),"n.a.","Unscheduled"),'Full schedule'!F45)</x:f>
        <x:v>Unscheduled</x:v>
      </x:c>
      <x:c r="G43" s="35" t="str">
        <x:f>IF(OR($E43="",$F43="Unscheduled"),"",IF($AA43="Either date",IF(OR(G$12=$E43,G$12=$F43),3,""),IF(AND(G$12&gt;=$E43,G$12&lt;=$F43),IF($AA43="Milestone",IF(AND(OR($D43="Complete",$D43="Submitted"),$F43&gt;Sources!$C$5),"T",2),IF(AND(OR($D43="Complete",$D43="Submitted"),G$12&gt;Sources!$C$5),4,1)),"")))</x:f>
      </x:c>
      <x:c r="H43" s="35" t="str">
        <x:f>IF(OR($E43="",$F43="Unscheduled"),"",IF($AA43="Either date",IF(OR(H$12=$E43,H$12=$F43),3,""),IF(AND(H$12&gt;=$E43,H$12&lt;=$F43),IF($AA43="Milestone",IF(AND(OR($D43="Complete",$D43="Submitted"),$F43&gt;Sources!$C$5),"T",2),IF(AND(OR($D43="Complete",$D43="Submitted"),H$12&gt;Sources!$C$5),4,1)),"")))</x:f>
      </x:c>
      <x:c r="I43" s="35" t="str">
        <x:f>IF(OR($E43="",$F43="Unscheduled"),"",IF($AA43="Either date",IF(OR(I$12=$E43,I$12=$F43),3,""),IF(AND(I$12&gt;=$E43,I$12&lt;=$F43),IF($AA43="Milestone",IF(AND(OR($D43="Complete",$D43="Submitted"),$F43&gt;Sources!$C$5),"T",2),IF(AND(OR($D43="Complete",$D43="Submitted"),I$12&gt;Sources!$C$5),4,1)),"")))</x:f>
      </x:c>
      <x:c r="J43" s="35" t="str">
        <x:f>IF(OR($E43="",$F43="Unscheduled"),"",IF($AA43="Either date",IF(OR(J$12=$E43,J$12=$F43),3,""),IF(AND(J$12&gt;=$E43,J$12&lt;=$F43),IF($AA43="Milestone",IF(AND(OR($D43="Complete",$D43="Submitted"),$F43&gt;Sources!$C$5),"T",2),IF(AND(OR($D43="Complete",$D43="Submitted"),J$12&gt;Sources!$C$5),4,1)),"")))</x:f>
      </x:c>
      <x:c r="K43" s="35" t="str">
        <x:f>IF(OR($E43="",$F43="Unscheduled"),"",IF($AA43="Either date",IF(OR(K$12=$E43,K$12=$F43),3,""),IF(AND(K$12&gt;=$E43,K$12&lt;=$F43),IF($AA43="Milestone",IF(AND(OR($D43="Complete",$D43="Submitted"),$F43&gt;Sources!$C$5),"T",2),IF(AND(OR($D43="Complete",$D43="Submitted"),K$12&gt;Sources!$C$5),4,1)),"")))</x:f>
      </x:c>
      <x:c r="L43" s="35" t="str">
        <x:f>IF(OR($E43="",$F43="Unscheduled"),"",IF($AA43="Either date",IF(OR(L$12=$E43,L$12=$F43),3,""),IF(AND(L$12&gt;=$E43,L$12&lt;=$F43),IF($AA43="Milestone",IF(AND(OR($D43="Complete",$D43="Submitted"),$F43&gt;Sources!$C$5),"T",2),IF(AND(OR($D43="Complete",$D43="Submitted"),L$12&gt;Sources!$C$5),4,1)),"")))</x:f>
      </x:c>
      <x:c r="M43" s="35" t="str">
        <x:f>IF(OR($E43="",$F43="Unscheduled"),"",IF($AA43="Either date",IF(OR(M$12=$E43,M$12=$F43),3,""),IF(AND(M$12&gt;=$E43,M$12&lt;=$F43),IF($AA43="Milestone",IF(AND(OR($D43="Complete",$D43="Submitted"),$F43&gt;Sources!$C$5),"T",2),IF(AND(OR($D43="Complete",$D43="Submitted"),M$12&gt;Sources!$C$5),4,1)),"")))</x:f>
      </x:c>
      <x:c r="N43" s="35" t="str">
        <x:f>IF(OR($E43="",$F43="Unscheduled"),"",IF($AA43="Either date",IF(OR(N$12=$E43,N$12=$F43),3,""),IF(AND(N$12&gt;=$E43,N$12&lt;=$F43),IF($AA43="Milestone",IF(AND(OR($D43="Complete",$D43="Submitted"),$F43&gt;Sources!$C$5),"T",2),IF(AND(OR($D43="Complete",$D43="Submitted"),N$12&gt;Sources!$C$5),4,1)),"")))</x:f>
      </x:c>
      <x:c r="O43" s="35" t="str">
        <x:f>IF(OR($E43="",$F43="Unscheduled"),"",IF($AA43="Either date",IF(OR(O$12=$E43,O$12=$F43),3,""),IF(AND(O$12&gt;=$E43,O$12&lt;=$F43),IF($AA43="Milestone",IF(AND(OR($D43="Complete",$D43="Submitted"),$F43&gt;Sources!$C$5),"T",2),IF(AND(OR($D43="Complete",$D43="Submitted"),O$12&gt;Sources!$C$5),4,1)),"")))</x:f>
      </x:c>
      <x:c r="P43" s="35" t="str">
        <x:f>IF(OR($E43="",$F43="Unscheduled"),"",IF($AA43="Either date",IF(OR(P$12=$E43,P$12=$F43),3,""),IF(AND(P$12&gt;=$E43,P$12&lt;=$F43),IF($AA43="Milestone",IF(AND(OR($D43="Complete",$D43="Submitted"),$F43&gt;Sources!$C$5),"T",2),IF(AND(OR($D43="Complete",$D43="Submitted"),P$12&gt;Sources!$C$5),4,1)),"")))</x:f>
      </x:c>
      <x:c r="Q43" s="35" t="str">
        <x:f>IF(OR($E43="",$F43="Unscheduled"),"",IF($AA43="Either date",IF(OR(Q$12=$E43,Q$12=$F43),3,""),IF(AND(Q$12&gt;=$E43,Q$12&lt;=$F43),IF($AA43="Milestone",IF(AND(OR($D43="Complete",$D43="Submitted"),$F43&gt;Sources!$C$5),"T",2),IF(AND(OR($D43="Complete",$D43="Submitted"),Q$12&gt;Sources!$C$5),4,1)),"")))</x:f>
      </x:c>
      <x:c r="R43" s="35" t="str">
        <x:f>IF(OR($E43="",$F43="Unscheduled"),"",IF($AA43="Either date",IF(OR(R$12=$E43,R$12=$F43),3,""),IF(AND(R$12&gt;=$E43,R$12&lt;=$F43),IF($AA43="Milestone",IF(AND(OR($D43="Complete",$D43="Submitted"),$F43&gt;Sources!$C$5),"T",2),IF(AND(OR($D43="Complete",$D43="Submitted"),R$12&gt;Sources!$C$5),4,1)),"")))</x:f>
      </x:c>
      <x:c r="S43" s="35" t="str">
        <x:f>IF(OR($E43="",$F43="Unscheduled"),"",IF($AA43="Either date",IF(OR(S$12=$E43,S$12=$F43),3,""),IF(AND(S$12&gt;=$E43,S$12&lt;=$F43),IF($AA43="Milestone",IF(AND(OR($D43="Complete",$D43="Submitted"),$F43&gt;Sources!$C$5),"T",2),IF(AND(OR($D43="Complete",$D43="Submitted"),S$12&gt;Sources!$C$5),4,1)),"")))</x:f>
      </x:c>
      <x:c r="T43" s="35" t="str">
        <x:f>IF(OR($E43="",$F43="Unscheduled"),"",IF($AA43="Either date",IF(OR(T$12=$E43,T$12=$F43),3,""),IF(AND(T$12&gt;=$E43,T$12&lt;=$F43),IF($AA43="Milestone",IF(AND(OR($D43="Complete",$D43="Submitted"),$F43&gt;Sources!$C$5),"T",2),IF(AND(OR($D43="Complete",$D43="Submitted"),T$12&gt;Sources!$C$5),4,1)),"")))</x:f>
      </x:c>
      <x:c r="U43" s="35" t="str">
        <x:f>IF(OR($E43="",$F43="Unscheduled"),"",IF($AA43="Either date",IF(OR(U$12=$E43,U$12=$F43),3,""),IF(AND(U$12&gt;=$E43,U$12&lt;=$F43),IF($AA43="Milestone",IF(AND(OR($D43="Complete",$D43="Submitted"),$F43&gt;Sources!$C$5),"T",2),IF(AND(OR($D43="Complete",$D43="Submitted"),U$12&gt;Sources!$C$5),4,1)),"")))</x:f>
      </x:c>
      <x:c r="V43" s="35" t="str">
        <x:f>IF(OR($E43="",$F43="Unscheduled"),"",IF($AA43="Either date",IF(OR(V$12=$E43,V$12=$F43),3,""),IF(AND(V$12&gt;=$E43,V$12&lt;=$F43),IF($AA43="Milestone",IF(AND(OR($D43="Complete",$D43="Submitted"),$F43&gt;Sources!$C$5),"T",2),IF(AND(OR($D43="Complete",$D43="Submitted"),V$12&gt;Sources!$C$5),4,1)),"")))</x:f>
      </x:c>
      <x:c r="W43" s="35" t="str">
        <x:f>IF(OR($E43="",$F43="Unscheduled"),"",IF($AA43="Either date",IF(OR(W$12=$E43,W$12=$F43),3,""),IF(AND(W$12&gt;=$E43,W$12&lt;=$F43),IF($AA43="Milestone",IF(AND(OR($D43="Complete",$D43="Submitted"),$F43&gt;Sources!$C$5),"T",2),IF(AND(OR($D43="Complete",$D43="Submitted"),W$12&gt;Sources!$C$5),4,1)),"")))</x:f>
      </x:c>
      <x:c r="X43" s="35" t="str">
        <x:f>IF(OR($E43="",$F43="Unscheduled"),"",IF($AA43="Either date",IF(OR(X$12=$E43,X$12=$F43),3,""),IF(AND(X$12&gt;=$E43,X$12&lt;=$F43),IF($AA43="Milestone",IF(AND(OR($D43="Complete",$D43="Submitted"),$F43&gt;Sources!$C$5),"T",2),IF(AND(OR($D43="Complete",$D43="Submitted"),X$12&gt;Sources!$C$5),4,1)),"")))</x:f>
      </x:c>
      <x:c r="Y43" s="35" t="str">
        <x:f>IF(OR($E43="",$F43="Unscheduled"),"",IF($AA43="Either date",IF(OR(Y$12=$E43,Y$12=$F43),3,""),IF(AND(Y$12&gt;=$E43,Y$12&lt;=$F43),IF($AA43="Milestone",IF(AND(OR($D43="Complete",$D43="Submitted"),$F43&gt;Sources!$C$5),"T",2),IF(AND(OR($D43="Complete",$D43="Submitted"),Y$12&gt;Sources!$C$5),4,1)),"")))</x:f>
      </x:c>
      <x:c r="Z43" s="2"/>
      <x:c r="AA43" s="2" t="str">
        <x:f>'Full schedule'!I45</x:f>
        <x:v>Window</x:v>
      </x:c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</x:sheetData>
  <x:mergeCells>
    <x:mergeCell ref="A13:Y13"/>
    <x:mergeCell ref="A20:Y20"/>
    <x:mergeCell ref="A34:Y34"/>
    <x:mergeCell ref="A38:Y38"/>
  </x:mergeCells>
  <x:conditionalFormatting sqref="G14:Y14">
    <x:cfRule type="expression" dxfId="532" priority="1">
      <x:formula>AND(G14=1,OR($D14="Complete",$D14="Submitted"))</x:formula>
    </x:cfRule>
    <x:cfRule type="expression" dxfId="533" priority="2">
      <x:formula>AND(G14=1,$D14&lt;&gt;"Complete",$D14&lt;&gt;"Submitted")</x:formula>
    </x:cfRule>
    <x:cfRule type="expression" dxfId="534" priority="3">
      <x:formula>G14=4</x:formula>
    </x:cfRule>
    <x:cfRule type="expression" dxfId="535" priority="4">
      <x:formula>G14=2</x:formula>
    </x:cfRule>
    <x:cfRule type="expression" dxfId="536" priority="5">
      <x:formula>G14=3</x:formula>
    </x:cfRule>
    <x:cfRule type="expression" dxfId="537" priority="6">
      <x:formula>G14="T"</x:formula>
    </x:cfRule>
  </x:conditionalFormatting>
  <x:conditionalFormatting sqref="G15:Y15">
    <x:cfRule type="expression" dxfId="538" priority="7">
      <x:formula>AND(G15=1,OR($D15="Complete",$D15="Submitted"))</x:formula>
    </x:cfRule>
    <x:cfRule type="expression" dxfId="539" priority="8">
      <x:formula>AND(G15=1,$D15&lt;&gt;"Complete",$D15&lt;&gt;"Submitted")</x:formula>
    </x:cfRule>
    <x:cfRule type="expression" dxfId="540" priority="9">
      <x:formula>G15=4</x:formula>
    </x:cfRule>
    <x:cfRule type="expression" dxfId="541" priority="10">
      <x:formula>G15=2</x:formula>
    </x:cfRule>
    <x:cfRule type="expression" dxfId="542" priority="11">
      <x:formula>G15=3</x:formula>
    </x:cfRule>
    <x:cfRule type="expression" dxfId="543" priority="12">
      <x:formula>G15="T"</x:formula>
    </x:cfRule>
  </x:conditionalFormatting>
  <x:conditionalFormatting sqref="G16:Y16">
    <x:cfRule type="expression" dxfId="544" priority="13">
      <x:formula>AND(G16=1,OR($D16="Complete",$D16="Submitted"))</x:formula>
    </x:cfRule>
    <x:cfRule type="expression" dxfId="545" priority="14">
      <x:formula>AND(G16=1,$D16&lt;&gt;"Complete",$D16&lt;&gt;"Submitted")</x:formula>
    </x:cfRule>
    <x:cfRule type="expression" dxfId="546" priority="15">
      <x:formula>G16=4</x:formula>
    </x:cfRule>
    <x:cfRule type="expression" dxfId="547" priority="16">
      <x:formula>G16=2</x:formula>
    </x:cfRule>
    <x:cfRule type="expression" dxfId="548" priority="17">
      <x:formula>G16=3</x:formula>
    </x:cfRule>
    <x:cfRule type="expression" dxfId="549" priority="18">
      <x:formula>G16="T"</x:formula>
    </x:cfRule>
  </x:conditionalFormatting>
  <x:conditionalFormatting sqref="G17:Y17">
    <x:cfRule type="expression" dxfId="550" priority="19">
      <x:formula>AND(G17=1,OR($D17="Complete",$D17="Submitted"))</x:formula>
    </x:cfRule>
    <x:cfRule type="expression" dxfId="551" priority="20">
      <x:formula>AND(G17=1,$D17&lt;&gt;"Complete",$D17&lt;&gt;"Submitted")</x:formula>
    </x:cfRule>
    <x:cfRule type="expression" dxfId="552" priority="21">
      <x:formula>G17=4</x:formula>
    </x:cfRule>
    <x:cfRule type="expression" dxfId="553" priority="22">
      <x:formula>G17=2</x:formula>
    </x:cfRule>
    <x:cfRule type="expression" dxfId="554" priority="23">
      <x:formula>G17=3</x:formula>
    </x:cfRule>
    <x:cfRule type="expression" dxfId="555" priority="24">
      <x:formula>G17="T"</x:formula>
    </x:cfRule>
  </x:conditionalFormatting>
  <x:conditionalFormatting sqref="G18:Y18">
    <x:cfRule type="expression" dxfId="556" priority="25">
      <x:formula>AND(G18=1,OR($D18="Complete",$D18="Submitted"))</x:formula>
    </x:cfRule>
    <x:cfRule type="expression" dxfId="557" priority="26">
      <x:formula>AND(G18=1,$D18&lt;&gt;"Complete",$D18&lt;&gt;"Submitted")</x:formula>
    </x:cfRule>
    <x:cfRule type="expression" dxfId="558" priority="27">
      <x:formula>G18=4</x:formula>
    </x:cfRule>
    <x:cfRule type="expression" dxfId="559" priority="28">
      <x:formula>G18=2</x:formula>
    </x:cfRule>
    <x:cfRule type="expression" dxfId="560" priority="29">
      <x:formula>G18=3</x:formula>
    </x:cfRule>
    <x:cfRule type="expression" dxfId="561" priority="30">
      <x:formula>G18="T"</x:formula>
    </x:cfRule>
  </x:conditionalFormatting>
  <x:conditionalFormatting sqref="G19:Y19">
    <x:cfRule type="expression" dxfId="562" priority="31">
      <x:formula>AND(G19=1,OR($D19="Complete",$D19="Submitted"))</x:formula>
    </x:cfRule>
    <x:cfRule type="expression" dxfId="563" priority="32">
      <x:formula>AND(G19=1,$D19&lt;&gt;"Complete",$D19&lt;&gt;"Submitted")</x:formula>
    </x:cfRule>
    <x:cfRule type="expression" dxfId="564" priority="33">
      <x:formula>G19=4</x:formula>
    </x:cfRule>
    <x:cfRule type="expression" dxfId="565" priority="34">
      <x:formula>G19=2</x:formula>
    </x:cfRule>
    <x:cfRule type="expression" dxfId="566" priority="35">
      <x:formula>G19=3</x:formula>
    </x:cfRule>
    <x:cfRule type="expression" dxfId="567" priority="36">
      <x:formula>G19="T"</x:formula>
    </x:cfRule>
  </x:conditionalFormatting>
  <x:conditionalFormatting sqref="G21:Y21">
    <x:cfRule type="expression" dxfId="568" priority="37">
      <x:formula>AND(G21=1,OR($D21="Complete",$D21="Submitted"))</x:formula>
    </x:cfRule>
    <x:cfRule type="expression" dxfId="569" priority="38">
      <x:formula>AND(G21=1,$D21&lt;&gt;"Complete",$D21&lt;&gt;"Submitted")</x:formula>
    </x:cfRule>
    <x:cfRule type="expression" dxfId="570" priority="39">
      <x:formula>G21=4</x:formula>
    </x:cfRule>
    <x:cfRule type="expression" dxfId="571" priority="40">
      <x:formula>G21=2</x:formula>
    </x:cfRule>
    <x:cfRule type="expression" dxfId="572" priority="41">
      <x:formula>G21=3</x:formula>
    </x:cfRule>
    <x:cfRule type="expression" dxfId="573" priority="42">
      <x:formula>G21="T"</x:formula>
    </x:cfRule>
  </x:conditionalFormatting>
  <x:conditionalFormatting sqref="G22:Y22">
    <x:cfRule type="expression" dxfId="574" priority="43">
      <x:formula>AND(G22=1,OR($D22="Complete",$D22="Submitted"))</x:formula>
    </x:cfRule>
    <x:cfRule type="expression" dxfId="575" priority="44">
      <x:formula>AND(G22=1,$D22&lt;&gt;"Complete",$D22&lt;&gt;"Submitted")</x:formula>
    </x:cfRule>
    <x:cfRule type="expression" dxfId="576" priority="45">
      <x:formula>G22=4</x:formula>
    </x:cfRule>
    <x:cfRule type="expression" dxfId="577" priority="46">
      <x:formula>G22=2</x:formula>
    </x:cfRule>
    <x:cfRule type="expression" dxfId="578" priority="47">
      <x:formula>G22=3</x:formula>
    </x:cfRule>
    <x:cfRule type="expression" dxfId="579" priority="48">
      <x:formula>G22="T"</x:formula>
    </x:cfRule>
  </x:conditionalFormatting>
  <x:conditionalFormatting sqref="G23:Y23">
    <x:cfRule type="expression" dxfId="580" priority="49">
      <x:formula>AND(G23=1,OR($D23="Complete",$D23="Submitted"))</x:formula>
    </x:cfRule>
    <x:cfRule type="expression" dxfId="581" priority="50">
      <x:formula>AND(G23=1,$D23&lt;&gt;"Complete",$D23&lt;&gt;"Submitted")</x:formula>
    </x:cfRule>
    <x:cfRule type="expression" dxfId="582" priority="51">
      <x:formula>G23=4</x:formula>
    </x:cfRule>
    <x:cfRule type="expression" dxfId="583" priority="52">
      <x:formula>G23=2</x:formula>
    </x:cfRule>
    <x:cfRule type="expression" dxfId="584" priority="53">
      <x:formula>G23=3</x:formula>
    </x:cfRule>
    <x:cfRule type="expression" dxfId="585" priority="54">
      <x:formula>G23="T"</x:formula>
    </x:cfRule>
  </x:conditionalFormatting>
  <x:conditionalFormatting sqref="G24:Y24">
    <x:cfRule type="expression" dxfId="586" priority="55">
      <x:formula>AND(G24=1,OR($D24="Complete",$D24="Submitted"))</x:formula>
    </x:cfRule>
    <x:cfRule type="expression" dxfId="587" priority="56">
      <x:formula>AND(G24=1,$D24&lt;&gt;"Complete",$D24&lt;&gt;"Submitted")</x:formula>
    </x:cfRule>
    <x:cfRule type="expression" dxfId="588" priority="57">
      <x:formula>G24=4</x:formula>
    </x:cfRule>
    <x:cfRule type="expression" dxfId="589" priority="58">
      <x:formula>G24=2</x:formula>
    </x:cfRule>
    <x:cfRule type="expression" dxfId="590" priority="59">
      <x:formula>G24=3</x:formula>
    </x:cfRule>
    <x:cfRule type="expression" dxfId="591" priority="60">
      <x:formula>G24="T"</x:formula>
    </x:cfRule>
  </x:conditionalFormatting>
  <x:conditionalFormatting sqref="G25:Y25">
    <x:cfRule type="expression" dxfId="592" priority="61">
      <x:formula>AND(G25=1,OR($D25="Complete",$D25="Submitted"))</x:formula>
    </x:cfRule>
    <x:cfRule type="expression" dxfId="593" priority="62">
      <x:formula>AND(G25=1,$D25&lt;&gt;"Complete",$D25&lt;&gt;"Submitted")</x:formula>
    </x:cfRule>
    <x:cfRule type="expression" dxfId="594" priority="63">
      <x:formula>G25=4</x:formula>
    </x:cfRule>
    <x:cfRule type="expression" dxfId="595" priority="64">
      <x:formula>G25=2</x:formula>
    </x:cfRule>
    <x:cfRule type="expression" dxfId="596" priority="65">
      <x:formula>G25=3</x:formula>
    </x:cfRule>
    <x:cfRule type="expression" dxfId="597" priority="66">
      <x:formula>G25="T"</x:formula>
    </x:cfRule>
  </x:conditionalFormatting>
  <x:conditionalFormatting sqref="G26:Y26">
    <x:cfRule type="expression" dxfId="598" priority="67">
      <x:formula>AND(G26=1,OR($D26="Complete",$D26="Submitted"))</x:formula>
    </x:cfRule>
    <x:cfRule type="expression" dxfId="599" priority="68">
      <x:formula>AND(G26=1,$D26&lt;&gt;"Complete",$D26&lt;&gt;"Submitted")</x:formula>
    </x:cfRule>
    <x:cfRule type="expression" dxfId="600" priority="69">
      <x:formula>G26=4</x:formula>
    </x:cfRule>
    <x:cfRule type="expression" dxfId="601" priority="70">
      <x:formula>G26=2</x:formula>
    </x:cfRule>
    <x:cfRule type="expression" dxfId="602" priority="71">
      <x:formula>G26=3</x:formula>
    </x:cfRule>
    <x:cfRule type="expression" dxfId="603" priority="72">
      <x:formula>G26="T"</x:formula>
    </x:cfRule>
  </x:conditionalFormatting>
  <x:conditionalFormatting sqref="G27:Y27">
    <x:cfRule type="expression" dxfId="604" priority="73">
      <x:formula>AND(G27=1,OR($D27="Complete",$D27="Submitted"))</x:formula>
    </x:cfRule>
    <x:cfRule type="expression" dxfId="605" priority="74">
      <x:formula>AND(G27=1,$D27&lt;&gt;"Complete",$D27&lt;&gt;"Submitted")</x:formula>
    </x:cfRule>
    <x:cfRule type="expression" dxfId="606" priority="75">
      <x:formula>G27=4</x:formula>
    </x:cfRule>
    <x:cfRule type="expression" dxfId="607" priority="76">
      <x:formula>G27=2</x:formula>
    </x:cfRule>
    <x:cfRule type="expression" dxfId="608" priority="77">
      <x:formula>G27=3</x:formula>
    </x:cfRule>
    <x:cfRule type="expression" dxfId="609" priority="78">
      <x:formula>G27="T"</x:formula>
    </x:cfRule>
  </x:conditionalFormatting>
  <x:conditionalFormatting sqref="G28:Y28">
    <x:cfRule type="expression" dxfId="610" priority="79">
      <x:formula>AND(G28=1,OR($D28="Complete",$D28="Submitted"))</x:formula>
    </x:cfRule>
    <x:cfRule type="expression" dxfId="611" priority="80">
      <x:formula>AND(G28=1,$D28&lt;&gt;"Complete",$D28&lt;&gt;"Submitted")</x:formula>
    </x:cfRule>
    <x:cfRule type="expression" dxfId="612" priority="81">
      <x:formula>G28=4</x:formula>
    </x:cfRule>
    <x:cfRule type="expression" dxfId="613" priority="82">
      <x:formula>G28=2</x:formula>
    </x:cfRule>
    <x:cfRule type="expression" dxfId="614" priority="83">
      <x:formula>G28=3</x:formula>
    </x:cfRule>
    <x:cfRule type="expression" dxfId="615" priority="84">
      <x:formula>G28="T"</x:formula>
    </x:cfRule>
  </x:conditionalFormatting>
  <x:conditionalFormatting sqref="G29:Y29">
    <x:cfRule type="expression" dxfId="616" priority="85">
      <x:formula>AND(G29=1,OR($D29="Complete",$D29="Submitted"))</x:formula>
    </x:cfRule>
    <x:cfRule type="expression" dxfId="617" priority="86">
      <x:formula>AND(G29=1,$D29&lt;&gt;"Complete",$D29&lt;&gt;"Submitted")</x:formula>
    </x:cfRule>
    <x:cfRule type="expression" dxfId="618" priority="87">
      <x:formula>G29=4</x:formula>
    </x:cfRule>
    <x:cfRule type="expression" dxfId="619" priority="88">
      <x:formula>G29=2</x:formula>
    </x:cfRule>
    <x:cfRule type="expression" dxfId="620" priority="89">
      <x:formula>G29=3</x:formula>
    </x:cfRule>
    <x:cfRule type="expression" dxfId="621" priority="90">
      <x:formula>G29="T"</x:formula>
    </x:cfRule>
  </x:conditionalFormatting>
  <x:conditionalFormatting sqref="G30:Y30">
    <x:cfRule type="expression" dxfId="622" priority="91">
      <x:formula>AND(G30=1,OR($D30="Complete",$D30="Submitted"))</x:formula>
    </x:cfRule>
    <x:cfRule type="expression" dxfId="623" priority="92">
      <x:formula>AND(G30=1,$D30&lt;&gt;"Complete",$D30&lt;&gt;"Submitted")</x:formula>
    </x:cfRule>
    <x:cfRule type="expression" dxfId="624" priority="93">
      <x:formula>G30=4</x:formula>
    </x:cfRule>
    <x:cfRule type="expression" dxfId="625" priority="94">
      <x:formula>G30=2</x:formula>
    </x:cfRule>
    <x:cfRule type="expression" dxfId="626" priority="95">
      <x:formula>G30=3</x:formula>
    </x:cfRule>
    <x:cfRule type="expression" dxfId="627" priority="96">
      <x:formula>G30="T"</x:formula>
    </x:cfRule>
  </x:conditionalFormatting>
  <x:conditionalFormatting sqref="G31:Y31">
    <x:cfRule type="expression" dxfId="628" priority="97">
      <x:formula>AND(G31=1,OR($D31="Complete",$D31="Submitted"))</x:formula>
    </x:cfRule>
    <x:cfRule type="expression" dxfId="629" priority="98">
      <x:formula>AND(G31=1,$D31&lt;&gt;"Complete",$D31&lt;&gt;"Submitted")</x:formula>
    </x:cfRule>
    <x:cfRule type="expression" dxfId="630" priority="99">
      <x:formula>G31=4</x:formula>
    </x:cfRule>
    <x:cfRule type="expression" dxfId="631" priority="100">
      <x:formula>G31=2</x:formula>
    </x:cfRule>
    <x:cfRule type="expression" dxfId="632" priority="101">
      <x:formula>G31=3</x:formula>
    </x:cfRule>
    <x:cfRule type="expression" dxfId="633" priority="102">
      <x:formula>G31="T"</x:formula>
    </x:cfRule>
  </x:conditionalFormatting>
  <x:conditionalFormatting sqref="G32:Y32">
    <x:cfRule type="expression" dxfId="634" priority="103">
      <x:formula>AND(G32=1,OR($D32="Complete",$D32="Submitted"))</x:formula>
    </x:cfRule>
    <x:cfRule type="expression" dxfId="635" priority="104">
      <x:formula>AND(G32=1,$D32&lt;&gt;"Complete",$D32&lt;&gt;"Submitted")</x:formula>
    </x:cfRule>
    <x:cfRule type="expression" dxfId="636" priority="105">
      <x:formula>G32=4</x:formula>
    </x:cfRule>
    <x:cfRule type="expression" dxfId="637" priority="106">
      <x:formula>G32=2</x:formula>
    </x:cfRule>
    <x:cfRule type="expression" dxfId="638" priority="107">
      <x:formula>G32=3</x:formula>
    </x:cfRule>
    <x:cfRule type="expression" dxfId="639" priority="108">
      <x:formula>G32="T"</x:formula>
    </x:cfRule>
  </x:conditionalFormatting>
  <x:conditionalFormatting sqref="G33:Y33">
    <x:cfRule type="expression" dxfId="640" priority="109">
      <x:formula>AND(G33=1,OR($D33="Complete",$D33="Submitted"))</x:formula>
    </x:cfRule>
    <x:cfRule type="expression" dxfId="641" priority="110">
      <x:formula>AND(G33=1,$D33&lt;&gt;"Complete",$D33&lt;&gt;"Submitted")</x:formula>
    </x:cfRule>
    <x:cfRule type="expression" dxfId="642" priority="111">
      <x:formula>G33=4</x:formula>
    </x:cfRule>
    <x:cfRule type="expression" dxfId="643" priority="112">
      <x:formula>G33=2</x:formula>
    </x:cfRule>
    <x:cfRule type="expression" dxfId="644" priority="113">
      <x:formula>G33=3</x:formula>
    </x:cfRule>
    <x:cfRule type="expression" dxfId="645" priority="114">
      <x:formula>G33="T"</x:formula>
    </x:cfRule>
  </x:conditionalFormatting>
  <x:conditionalFormatting sqref="G35:Y35">
    <x:cfRule type="expression" dxfId="646" priority="115">
      <x:formula>AND(G35=1,OR($D35="Complete",$D35="Submitted"))</x:formula>
    </x:cfRule>
    <x:cfRule type="expression" dxfId="647" priority="116">
      <x:formula>AND(G35=1,$D35&lt;&gt;"Complete",$D35&lt;&gt;"Submitted")</x:formula>
    </x:cfRule>
    <x:cfRule type="expression" dxfId="648" priority="117">
      <x:formula>G35=4</x:formula>
    </x:cfRule>
    <x:cfRule type="expression" dxfId="649" priority="118">
      <x:formula>G35=2</x:formula>
    </x:cfRule>
    <x:cfRule type="expression" dxfId="650" priority="119">
      <x:formula>G35=3</x:formula>
    </x:cfRule>
    <x:cfRule type="expression" dxfId="651" priority="120">
      <x:formula>G35="T"</x:formula>
    </x:cfRule>
  </x:conditionalFormatting>
  <x:conditionalFormatting sqref="G36:Y36">
    <x:cfRule type="expression" dxfId="652" priority="121">
      <x:formula>AND(G36=1,OR($D36="Complete",$D36="Submitted"))</x:formula>
    </x:cfRule>
    <x:cfRule type="expression" dxfId="653" priority="122">
      <x:formula>AND(G36=1,$D36&lt;&gt;"Complete",$D36&lt;&gt;"Submitted")</x:formula>
    </x:cfRule>
    <x:cfRule type="expression" dxfId="654" priority="123">
      <x:formula>G36=4</x:formula>
    </x:cfRule>
    <x:cfRule type="expression" dxfId="655" priority="124">
      <x:formula>G36=2</x:formula>
    </x:cfRule>
    <x:cfRule type="expression" dxfId="656" priority="125">
      <x:formula>G36=3</x:formula>
    </x:cfRule>
    <x:cfRule type="expression" dxfId="657" priority="126">
      <x:formula>G36="T"</x:formula>
    </x:cfRule>
  </x:conditionalFormatting>
  <x:conditionalFormatting sqref="G37:Y37">
    <x:cfRule type="expression" dxfId="658" priority="127">
      <x:formula>AND(G37=1,OR($D37="Complete",$D37="Submitted"))</x:formula>
    </x:cfRule>
    <x:cfRule type="expression" dxfId="659" priority="128">
      <x:formula>AND(G37=1,$D37&lt;&gt;"Complete",$D37&lt;&gt;"Submitted")</x:formula>
    </x:cfRule>
    <x:cfRule type="expression" dxfId="660" priority="129">
      <x:formula>G37=4</x:formula>
    </x:cfRule>
    <x:cfRule type="expression" dxfId="661" priority="130">
      <x:formula>G37=2</x:formula>
    </x:cfRule>
    <x:cfRule type="expression" dxfId="662" priority="131">
      <x:formula>G37=3</x:formula>
    </x:cfRule>
    <x:cfRule type="expression" dxfId="663" priority="132">
      <x:formula>G37="T"</x:formula>
    </x:cfRule>
  </x:conditionalFormatting>
  <x:conditionalFormatting sqref="G39:Y39">
    <x:cfRule type="expression" dxfId="664" priority="133">
      <x:formula>AND(G39=1,OR($D39="Complete",$D39="Submitted"))</x:formula>
    </x:cfRule>
    <x:cfRule type="expression" dxfId="665" priority="134">
      <x:formula>AND(G39=1,$D39&lt;&gt;"Complete",$D39&lt;&gt;"Submitted")</x:formula>
    </x:cfRule>
    <x:cfRule type="expression" dxfId="666" priority="135">
      <x:formula>G39=4</x:formula>
    </x:cfRule>
    <x:cfRule type="expression" dxfId="667" priority="136">
      <x:formula>G39=2</x:formula>
    </x:cfRule>
    <x:cfRule type="expression" dxfId="668" priority="137">
      <x:formula>G39=3</x:formula>
    </x:cfRule>
    <x:cfRule type="expression" dxfId="669" priority="138">
      <x:formula>G39="T"</x:formula>
    </x:cfRule>
  </x:conditionalFormatting>
  <x:conditionalFormatting sqref="G40:Y40">
    <x:cfRule type="expression" dxfId="670" priority="139">
      <x:formula>AND(G40=1,OR($D40="Complete",$D40="Submitted"))</x:formula>
    </x:cfRule>
    <x:cfRule type="expression" dxfId="671" priority="140">
      <x:formula>AND(G40=1,$D40&lt;&gt;"Complete",$D40&lt;&gt;"Submitted")</x:formula>
    </x:cfRule>
    <x:cfRule type="expression" dxfId="672" priority="141">
      <x:formula>G40=4</x:formula>
    </x:cfRule>
    <x:cfRule type="expression" dxfId="673" priority="142">
      <x:formula>G40=2</x:formula>
    </x:cfRule>
    <x:cfRule type="expression" dxfId="674" priority="143">
      <x:formula>G40=3</x:formula>
    </x:cfRule>
    <x:cfRule type="expression" dxfId="675" priority="144">
      <x:formula>G40="T"</x:formula>
    </x:cfRule>
  </x:conditionalFormatting>
  <x:conditionalFormatting sqref="G41:Y41">
    <x:cfRule type="expression" dxfId="676" priority="145">
      <x:formula>AND(G41=1,OR($D41="Complete",$D41="Submitted"))</x:formula>
    </x:cfRule>
    <x:cfRule type="expression" dxfId="677" priority="146">
      <x:formula>AND(G41=1,$D41&lt;&gt;"Complete",$D41&lt;&gt;"Submitted")</x:formula>
    </x:cfRule>
    <x:cfRule type="expression" dxfId="678" priority="147">
      <x:formula>G41=4</x:formula>
    </x:cfRule>
    <x:cfRule type="expression" dxfId="679" priority="148">
      <x:formula>G41=2</x:formula>
    </x:cfRule>
    <x:cfRule type="expression" dxfId="680" priority="149">
      <x:formula>G41=3</x:formula>
    </x:cfRule>
    <x:cfRule type="expression" dxfId="681" priority="150">
      <x:formula>G41="T"</x:formula>
    </x:cfRule>
  </x:conditionalFormatting>
  <x:conditionalFormatting sqref="G42:Y42">
    <x:cfRule type="expression" dxfId="682" priority="151">
      <x:formula>AND(G42=1,OR($D42="Complete",$D42="Submitted"))</x:formula>
    </x:cfRule>
    <x:cfRule type="expression" dxfId="683" priority="152">
      <x:formula>AND(G42=1,$D42&lt;&gt;"Complete",$D42&lt;&gt;"Submitted")</x:formula>
    </x:cfRule>
    <x:cfRule type="expression" dxfId="684" priority="153">
      <x:formula>G42=4</x:formula>
    </x:cfRule>
    <x:cfRule type="expression" dxfId="685" priority="154">
      <x:formula>G42=2</x:formula>
    </x:cfRule>
    <x:cfRule type="expression" dxfId="686" priority="155">
      <x:formula>G42=3</x:formula>
    </x:cfRule>
    <x:cfRule type="expression" dxfId="687" priority="156">
      <x:formula>G42="T"</x:formula>
    </x:cfRule>
  </x:conditionalFormatting>
  <x:conditionalFormatting sqref="G43:Y43">
    <x:cfRule type="expression" dxfId="688" priority="157">
      <x:formula>AND(G43=1,OR($D43="Complete",$D43="Submitted"))</x:formula>
    </x:cfRule>
    <x:cfRule type="expression" dxfId="689" priority="158">
      <x:formula>AND(G43=1,$D43&lt;&gt;"Complete",$D43&lt;&gt;"Submitted")</x:formula>
    </x:cfRule>
    <x:cfRule type="expression" dxfId="690" priority="159">
      <x:formula>G43=4</x:formula>
    </x:cfRule>
    <x:cfRule type="expression" dxfId="691" priority="160">
      <x:formula>G43=2</x:formula>
    </x:cfRule>
    <x:cfRule type="expression" dxfId="692" priority="161">
      <x:formula>G43=3</x:formula>
    </x:cfRule>
    <x:cfRule type="expression" dxfId="693" priority="162">
      <x:formula>G43="T"</x:formula>
    </x:cfRule>
  </x:conditionalFormatting>
  <x:conditionalFormatting sqref="D14:D43">
    <x:cfRule type="containsText" dxfId="694" priority="163" operator="containsText" text="Complete"/>
    <x:cfRule type="containsText" dxfId="695" priority="164" operator="containsText" text="Submitted"/>
    <x:cfRule type="containsText" dxfId="696" priority="165" operator="containsText" text="In progress"/>
    <x:cfRule type="containsText" dxfId="697" priority="166" operator="containsText" text="Unscheduled"/>
    <x:cfRule type="containsText" dxfId="698" priority="167" operator="containsText" text="Proposed"/>
    <x:cfRule type="containsText" dxfId="699" priority="168" operator="containsText" text="Rehearsed"/>
    <x:cfRule type="containsText" dxfId="700" priority="169" operator="containsText" text="Prepared"/>
    <x:cfRule type="containsText" dxfId="701" priority="170" operator="containsText" text="Deferred"/>
    <x:cfRule type="containsText" dxfId="702" priority="171" operator="containsText" text="Review date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87AD"/>
  </x:sheetPr>
  <x:sheetViews>
    <x:sheetView showGridLines="0" workbookViewId="0">
      <x:pane xSplit="2" ySplit="15" topLeftCell="C16" activePane="bottomRight" state="frozen"/>
    </x:sheetView>
  </x:sheetViews>
  <x:sheetFormatPr defaultRowHeight="15"/>
  <x:cols>
    <x:col min="1" max="1" width="4.889999866485596" hidden="0" customWidth="1"/>
    <x:col min="2" max="2" width="41.11000061035156" hidden="0" customWidth="1"/>
    <x:col min="3" max="3" width="17.219999313354492" hidden="0" customWidth="1"/>
    <x:col min="4" max="4" width="11.670000076293945" hidden="0" customWidth="1"/>
    <x:col min="5" max="5" width="9.109999656677246" hidden="0" customWidth="1"/>
    <x:col min="6" max="6" width="9.109999656677246" hidden="0" customWidth="1"/>
    <x:col min="7" max="7" width="5" hidden="0" customWidth="1"/>
    <x:col min="8" max="8" width="16.670000076293945" hidden="0" customWidth="1"/>
    <x:col min="9" max="9" width="9.4399995803833" hidden="0" customWidth="1"/>
    <x:col min="10" max="10" width="6.21999979019165" hidden="0" customWidth="1"/>
    <x:col min="11" max="11" width="6.21999979019165" hidden="0" customWidth="1"/>
    <x:col min="12" max="12" width="6.21999979019165" hidden="0" customWidth="1"/>
    <x:col min="13" max="13" width="6.21999979019165" hidden="0" customWidth="1"/>
    <x:col min="14" max="14" width="6.21999979019165" hidden="0" customWidth="1"/>
    <x:col min="15" max="15" width="6.21999979019165" hidden="0" customWidth="1"/>
    <x:col min="16" max="16" width="6.21999979019165" hidden="0" customWidth="1"/>
    <x:col min="17" max="17" width="6.21999979019165" hidden="0" customWidth="1"/>
    <x:col min="18" max="18" width="6.21999979019165" hidden="0" customWidth="1"/>
    <x:col min="19" max="19" width="6.21999979019165" hidden="0" customWidth="1"/>
    <x:col min="20" max="20" width="6.21999979019165" hidden="0" customWidth="1"/>
    <x:col min="21" max="21" width="2.2200000286102295" hidden="0" customWidth="1"/>
    <x:col min="22" max="22" width="127.77999877929688" hidden="0" customWidth="1"/>
    <x:col min="23" max="23" width="20" hidden="0" customWidth="1"/>
    <x:col min="24" max="24" width="23.32999992370605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5" customHeight="1">
      <x:c r="A2" s="3" t="str">
        <x:v>Memorial bird feeder schedule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25" customHeight="1">
      <x:c r="A3" s="2" t="str">
        <x:f>"Week 9 status at "&amp;TEXT(Sources!C5,"mmmm d")&amp;". Green shading ends at the reporting cutoff; exact completion days are not assigned."</x:f>
        <x:v>Week 9 status at October 23. Green shading ends at the reporting cutoff; exact completion days are not assigned.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25" customHeight="1">
      <x:c r="A4" s="2" t="str">
        <x:v>Prototype and slides due</x:v>
      </x:c>
      <x:c r="B4" s="2"/>
      <x:c r="C4" s="28" t="n">
        <x:f>'Sources'!$C$6</x:f>
        <x:v>46321</x:v>
      </x:c>
      <x:c r="D4" s="2"/>
      <x:c r="E4" s="2" t="str">
        <x:v>MVP due</x:v>
      </x:c>
      <x:c r="F4" s="28" t="n">
        <x:f>'Sources'!$C$9</x:f>
        <x:v>46328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25" customHeight="1">
      <x:c r="A5" s="2" t="str">
        <x:v>Live presentation</x:v>
      </x:c>
      <x:c r="B5" s="2"/>
      <x:c r="C5" s="2" t="str">
        <x:f>TEXT(Sources!C7,"mmm d")&amp;" or "&amp;TEXT(Sources!C8,"mmm d")</x:f>
        <x:v>Oct 26 or Oct 28</x:v>
      </x:c>
      <x:c r="D5" s="2"/>
      <x:c r="E5" s="2" t="str">
        <x:v>After review</x:v>
      </x:c>
      <x:c r="F5" s="28" t="n">
        <x:f>MAX('Sources'!$C$7:$C$8)+1</x:f>
        <x:v>46324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25" customHeight="1">
      <x:c r="A7" s="2" t="str">
        <x:v>Green = complete by the Week 9 cutoff. Gray = remaining target window. Blue = planned work. M = milestone. T = scheduled readiness target. ? = possible presentation date.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25" customHeight="1">
      <x:c r="A8" s="2" t="str">
        <x:v>V&amp;V revision and stakeholder contact remain unscheduled. Field outcomes remain deferred.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25" customHeight="1">
      <x:c r="A9" s="2" t="str">
        <x:f>"The conservative MVP planning window follows the later possible review. Stages can iterate; "&amp;TEXT(Sources!C10,"mmmm d")&amp;" is an interim check-in."</x:f>
        <x:v>The conservative MVP planning window follows the later possible review. Stages can iterate; October 30 is an interim check-in.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25" customHeight="1">
      <x:c r="A11" s="2" t="str">
        <x:v>Edit common dates on Sources; task dates, owners and status are in this sheet. Fixed course checkpoints do not move automatically.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40" customHeight="1">
      <x:c r="A15" s="12" t="str">
        <x:v>ID</x:v>
      </x:c>
      <x:c r="B15" s="13" t="str">
        <x:v>Task</x:v>
      </x:c>
      <x:c r="C15" s="13" t="str">
        <x:v>Responsible</x:v>
      </x:c>
      <x:c r="D15" s="13" t="str">
        <x:v>Week 9 status</x:v>
      </x:c>
      <x:c r="E15" s="13" t="str">
        <x:v>Scheduled start</x:v>
      </x:c>
      <x:c r="F15" s="13" t="str">
        <x:v>Target / end</x:v>
      </x:c>
      <x:c r="G15" s="13" t="str">
        <x:v>Days</x:v>
      </x:c>
      <x:c r="H15" s="13" t="str">
        <x:v>Needs</x:v>
      </x:c>
      <x:c r="I15" s="13" t="str">
        <x:v>Kind</x:v>
      </x:c>
      <x:c r="J15" s="29" t="d">
        <x:v>2026-09-28T00:00:00.000Z</x:v>
      </x:c>
      <x:c r="K15" s="29" t="d">
        <x:v>2026-10-05T00:00:00.000Z</x:v>
      </x:c>
      <x:c r="L15" s="29" t="d">
        <x:v>2026-10-12T00:00:00.000Z</x:v>
      </x:c>
      <x:c r="M15" s="29" t="d">
        <x:v>2026-10-19T00:00:00.000Z</x:v>
      </x:c>
      <x:c r="N15" s="29" t="d">
        <x:v>2026-10-26T00:00:00.000Z</x:v>
      </x:c>
      <x:c r="O15" s="29" t="d">
        <x:v>2026-11-02T00:00:00.000Z</x:v>
      </x:c>
      <x:c r="P15" s="29" t="d">
        <x:v>2026-11-09T00:00:00.000Z</x:v>
      </x:c>
      <x:c r="Q15" s="29" t="d">
        <x:v>2026-11-16T00:00:00.000Z</x:v>
      </x:c>
      <x:c r="R15" s="29" t="d">
        <x:v>2026-11-23T00:00:00.000Z</x:v>
      </x:c>
      <x:c r="S15" s="29" t="d">
        <x:v>2026-11-30T00:00:00.000Z</x:v>
      </x:c>
      <x:c r="T15" s="30" t="d">
        <x:v>2026-12-07T00:00:00.000Z</x:v>
      </x:c>
      <x:c r="U15" s="2"/>
      <x:c r="V15" s="12" t="str">
        <x:v>Notes</x:v>
      </x:c>
      <x:c r="W15" s="13" t="str">
        <x:v>Related specifications</x:v>
      </x:c>
      <x:c r="X15" s="14" t="str">
        <x:v>Source</x:v>
      </x:c>
    </x:row>
    <x:row r="16" ht="24" customHeight="1">
      <x:c r="A16" s="33" t="str">
        <x:v>Concept selection and project documents</x:v>
      </x:c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2"/>
      <x:c r="V16" s="2"/>
      <x:c r="W16" s="18"/>
      <x:c r="X16" s="18"/>
    </x:row>
    <x:row r="17" ht="38" customHeight="1">
      <x:c r="A17" s="2" t="str">
        <x:v>R1</x:v>
      </x:c>
      <x:c r="B17" s="18" t="str">
        <x:v>Finalize concept choice and Gantt submission</x:v>
      </x:c>
      <x:c r="C17" s="18" t="str">
        <x:v>All four</x:v>
      </x:c>
      <x:c r="D17" s="2" t="str">
        <x:v>Complete</x:v>
      </x:c>
      <x:c r="E17" s="15" t="d">
        <x:v>2026-09-28T00:00:00.000Z</x:v>
      </x:c>
      <x:c r="F17" s="15" t="d">
        <x:v>2026-09-28T00:00:00.000Z</x:v>
      </x:c>
      <x:c r="G17" s="2" t="n">
        <x:f>IF(OR(E17="",F17="",I17="Either date"),"",IF(F17&lt;E17,"Review",F17-E17+1))</x:f>
        <x:v>1</x:v>
      </x:c>
      <x:c r="H17" s="18" t="str"/>
      <x:c r="I17" s="18" t="str">
        <x:v>Window</x:v>
      </x:c>
      <x:c r="J17" s="35" t="n">
        <x:f>IF(OR($E17="",$F17=""),"",IF($I17="Either date",IF(OR(AND(J$15&lt;=$E17,J$15+6&gt;=$E17),AND(J$15&lt;=$F17,J$15+6&gt;=$F17)),3,""),IF(AND(J$15&lt;=$F17,J$15+6&gt;=$E17),IF($I17="Milestone",IF(AND(OR($D17="Complete",$D17="Submitted"),$F17&gt;Sources!$C$5),"T",2),IF(AND(OR($D17="Complete",$D17="Submitted"),J$15&gt;Sources!$C$5),4,1)),"")))</x:f>
        <x:v>1</x:v>
      </x:c>
      <x:c r="K17" s="35" t="str">
        <x:f>IF(OR($E17="",$F17=""),"",IF($I17="Either date",IF(OR(AND(K$15&lt;=$E17,K$15+6&gt;=$E17),AND(K$15&lt;=$F17,K$15+6&gt;=$F17)),3,""),IF(AND(K$15&lt;=$F17,K$15+6&gt;=$E17),IF($I17="Milestone",IF(AND(OR($D17="Complete",$D17="Submitted"),$F17&gt;Sources!$C$5),"T",2),IF(AND(OR($D17="Complete",$D17="Submitted"),K$15&gt;Sources!$C$5),4,1)),"")))</x:f>
      </x:c>
      <x:c r="L17" s="35" t="str">
        <x:f>IF(OR($E17="",$F17=""),"",IF($I17="Either date",IF(OR(AND(L$15&lt;=$E17,L$15+6&gt;=$E17),AND(L$15&lt;=$F17,L$15+6&gt;=$F17)),3,""),IF(AND(L$15&lt;=$F17,L$15+6&gt;=$E17),IF($I17="Milestone",IF(AND(OR($D17="Complete",$D17="Submitted"),$F17&gt;Sources!$C$5),"T",2),IF(AND(OR($D17="Complete",$D17="Submitted"),L$15&gt;Sources!$C$5),4,1)),"")))</x:f>
      </x:c>
      <x:c r="M17" s="35" t="str">
        <x:f>IF(OR($E17="",$F17=""),"",IF($I17="Either date",IF(OR(AND(M$15&lt;=$E17,M$15+6&gt;=$E17),AND(M$15&lt;=$F17,M$15+6&gt;=$F17)),3,""),IF(AND(M$15&lt;=$F17,M$15+6&gt;=$E17),IF($I17="Milestone",IF(AND(OR($D17="Complete",$D17="Submitted"),$F17&gt;Sources!$C$5),"T",2),IF(AND(OR($D17="Complete",$D17="Submitted"),M$15&gt;Sources!$C$5),4,1)),"")))</x:f>
      </x:c>
      <x:c r="N17" s="35" t="str">
        <x:f>IF(OR($E17="",$F17=""),"",IF($I17="Either date",IF(OR(AND(N$15&lt;=$E17,N$15+6&gt;=$E17),AND(N$15&lt;=$F17,N$15+6&gt;=$F17)),3,""),IF(AND(N$15&lt;=$F17,N$15+6&gt;=$E17),IF($I17="Milestone",IF(AND(OR($D17="Complete",$D17="Submitted"),$F17&gt;Sources!$C$5),"T",2),IF(AND(OR($D17="Complete",$D17="Submitted"),N$15&gt;Sources!$C$5),4,1)),"")))</x:f>
      </x:c>
      <x:c r="O17" s="35" t="str">
        <x:f>IF(OR($E17="",$F17=""),"",IF($I17="Either date",IF(OR(AND(O$15&lt;=$E17,O$15+6&gt;=$E17),AND(O$15&lt;=$F17,O$15+6&gt;=$F17)),3,""),IF(AND(O$15&lt;=$F17,O$15+6&gt;=$E17),IF($I17="Milestone",IF(AND(OR($D17="Complete",$D17="Submitted"),$F17&gt;Sources!$C$5),"T",2),IF(AND(OR($D17="Complete",$D17="Submitted"),O$15&gt;Sources!$C$5),4,1)),"")))</x:f>
      </x:c>
      <x:c r="P17" s="35" t="str">
        <x:f>IF(OR($E17="",$F17=""),"",IF($I17="Either date",IF(OR(AND(P$15&lt;=$E17,P$15+6&gt;=$E17),AND(P$15&lt;=$F17,P$15+6&gt;=$F17)),3,""),IF(AND(P$15&lt;=$F17,P$15+6&gt;=$E17),IF($I17="Milestone",IF(AND(OR($D17="Complete",$D17="Submitted"),$F17&gt;Sources!$C$5),"T",2),IF(AND(OR($D17="Complete",$D17="Submitted"),P$15&gt;Sources!$C$5),4,1)),"")))</x:f>
      </x:c>
      <x:c r="Q17" s="35" t="str">
        <x:f>IF(OR($E17="",$F17=""),"",IF($I17="Either date",IF(OR(AND(Q$15&lt;=$E17,Q$15+6&gt;=$E17),AND(Q$15&lt;=$F17,Q$15+6&gt;=$F17)),3,""),IF(AND(Q$15&lt;=$F17,Q$15+6&gt;=$E17),IF($I17="Milestone",IF(AND(OR($D17="Complete",$D17="Submitted"),$F17&gt;Sources!$C$5),"T",2),IF(AND(OR($D17="Complete",$D17="Submitted"),Q$15&gt;Sources!$C$5),4,1)),"")))</x:f>
      </x:c>
      <x:c r="R17" s="35" t="str">
        <x:f>IF(OR($E17="",$F17=""),"",IF($I17="Either date",IF(OR(AND(R$15&lt;=$E17,R$15+6&gt;=$E17),AND(R$15&lt;=$F17,R$15+6&gt;=$F17)),3,""),IF(AND(R$15&lt;=$F17,R$15+6&gt;=$E17),IF($I17="Milestone",IF(AND(OR($D17="Complete",$D17="Submitted"),$F17&gt;Sources!$C$5),"T",2),IF(AND(OR($D17="Complete",$D17="Submitted"),R$15&gt;Sources!$C$5),4,1)),"")))</x:f>
      </x:c>
      <x:c r="S17" s="35" t="str">
        <x:f>IF(OR($E17="",$F17=""),"",IF($I17="Either date",IF(OR(AND(S$15&lt;=$E17,S$15+6&gt;=$E17),AND(S$15&lt;=$F17,S$15+6&gt;=$F17)),3,""),IF(AND(S$15&lt;=$F17,S$15+6&gt;=$E17),IF($I17="Milestone",IF(AND(OR($D17="Complete",$D17="Submitted"),$F17&gt;Sources!$C$5),"T",2),IF(AND(OR($D17="Complete",$D17="Submitted"),S$15&gt;Sources!$C$5),4,1)),"")))</x:f>
      </x:c>
      <x:c r="T17" s="35" t="str">
        <x:f>IF(OR($E17="",$F17=""),"",IF($I17="Either date",IF(OR(AND(T$15&lt;=$E17,T$15+6&gt;=$E17),AND(T$15&lt;=$F17,T$15+6&gt;=$F17)),3,""),IF(AND(T$15&lt;=$F17,T$15+6&gt;=$E17),IF($I17="Milestone",IF(AND(OR($D17="Complete",$D17="Submitted"),$F17&gt;Sources!$C$5),"T",2),IF(AND(OR($D17="Complete",$D17="Submitted"),T$15&gt;Sources!$C$5),4,1)),"")))</x:f>
      </x:c>
      <x:c r="U17" s="2"/>
      <x:c r="V17" s="2" t="str">
        <x:v>Completed in the earlier project stages.</x:v>
      </x:c>
      <x:c r="W17" s="18" t="str">
        <x:v>All FS / TS</x:v>
      </x:c>
      <x:c r="X17" s="18" t="str">
        <x:v>Submitted Gantt</x:v>
      </x:c>
    </x:row>
    <x:row r="18" ht="38" customHeight="1">
      <x:c r="A18" s="36" t="str">
        <x:v>R2</x:v>
      </x:c>
      <x:c r="B18" s="37" t="str">
        <x:v>Define subsystem interfaces and prototype questions</x:v>
      </x:c>
      <x:c r="C18" s="37" t="str">
        <x:v>All four</x:v>
      </x:c>
      <x:c r="D18" s="36" t="str">
        <x:v>Complete</x:v>
      </x:c>
      <x:c r="E18" s="38" t="d">
        <x:v>2026-09-29T00:00:00.000Z</x:v>
      </x:c>
      <x:c r="F18" s="38" t="d">
        <x:v>2026-10-01T00:00:00.000Z</x:v>
      </x:c>
      <x:c r="G18" s="36" t="n">
        <x:f>IF(OR(E18="",F18="",I18="Either date"),"",IF(F18&lt;E18,"Review",F18-E18+1))</x:f>
        <x:v>3</x:v>
      </x:c>
      <x:c r="H18" s="37" t="str">
        <x:v>R1</x:v>
      </x:c>
      <x:c r="I18" s="37" t="str">
        <x:v>Window</x:v>
      </x:c>
      <x:c r="J18" s="35" t="n">
        <x:f>IF(OR($E18="",$F18=""),"",IF($I18="Either date",IF(OR(AND(J$15&lt;=$E18,J$15+6&gt;=$E18),AND(J$15&lt;=$F18,J$15+6&gt;=$F18)),3,""),IF(AND(J$15&lt;=$F18,J$15+6&gt;=$E18),IF($I18="Milestone",IF(AND(OR($D18="Complete",$D18="Submitted"),$F18&gt;Sources!$C$5),"T",2),IF(AND(OR($D18="Complete",$D18="Submitted"),J$15&gt;Sources!$C$5),4,1)),"")))</x:f>
        <x:v>1</x:v>
      </x:c>
      <x:c r="K18" s="35" t="str">
        <x:f>IF(OR($E18="",$F18=""),"",IF($I18="Either date",IF(OR(AND(K$15&lt;=$E18,K$15+6&gt;=$E18),AND(K$15&lt;=$F18,K$15+6&gt;=$F18)),3,""),IF(AND(K$15&lt;=$F18,K$15+6&gt;=$E18),IF($I18="Milestone",IF(AND(OR($D18="Complete",$D18="Submitted"),$F18&gt;Sources!$C$5),"T",2),IF(AND(OR($D18="Complete",$D18="Submitted"),K$15&gt;Sources!$C$5),4,1)),"")))</x:f>
      </x:c>
      <x:c r="L18" s="35" t="str">
        <x:f>IF(OR($E18="",$F18=""),"",IF($I18="Either date",IF(OR(AND(L$15&lt;=$E18,L$15+6&gt;=$E18),AND(L$15&lt;=$F18,L$15+6&gt;=$F18)),3,""),IF(AND(L$15&lt;=$F18,L$15+6&gt;=$E18),IF($I18="Milestone",IF(AND(OR($D18="Complete",$D18="Submitted"),$F18&gt;Sources!$C$5),"T",2),IF(AND(OR($D18="Complete",$D18="Submitted"),L$15&gt;Sources!$C$5),4,1)),"")))</x:f>
      </x:c>
      <x:c r="M18" s="35" t="str">
        <x:f>IF(OR($E18="",$F18=""),"",IF($I18="Either date",IF(OR(AND(M$15&lt;=$E18,M$15+6&gt;=$E18),AND(M$15&lt;=$F18,M$15+6&gt;=$F18)),3,""),IF(AND(M$15&lt;=$F18,M$15+6&gt;=$E18),IF($I18="Milestone",IF(AND(OR($D18="Complete",$D18="Submitted"),$F18&gt;Sources!$C$5),"T",2),IF(AND(OR($D18="Complete",$D18="Submitted"),M$15&gt;Sources!$C$5),4,1)),"")))</x:f>
      </x:c>
      <x:c r="N18" s="35" t="str">
        <x:f>IF(OR($E18="",$F18=""),"",IF($I18="Either date",IF(OR(AND(N$15&lt;=$E18,N$15+6&gt;=$E18),AND(N$15&lt;=$F18,N$15+6&gt;=$F18)),3,""),IF(AND(N$15&lt;=$F18,N$15+6&gt;=$E18),IF($I18="Milestone",IF(AND(OR($D18="Complete",$D18="Submitted"),$F18&gt;Sources!$C$5),"T",2),IF(AND(OR($D18="Complete",$D18="Submitted"),N$15&gt;Sources!$C$5),4,1)),"")))</x:f>
      </x:c>
      <x:c r="O18" s="35" t="str">
        <x:f>IF(OR($E18="",$F18=""),"",IF($I18="Either date",IF(OR(AND(O$15&lt;=$E18,O$15+6&gt;=$E18),AND(O$15&lt;=$F18,O$15+6&gt;=$F18)),3,""),IF(AND(O$15&lt;=$F18,O$15+6&gt;=$E18),IF($I18="Milestone",IF(AND(OR($D18="Complete",$D18="Submitted"),$F18&gt;Sources!$C$5),"T",2),IF(AND(OR($D18="Complete",$D18="Submitted"),O$15&gt;Sources!$C$5),4,1)),"")))</x:f>
      </x:c>
      <x:c r="P18" s="35" t="str">
        <x:f>IF(OR($E18="",$F18=""),"",IF($I18="Either date",IF(OR(AND(P$15&lt;=$E18,P$15+6&gt;=$E18),AND(P$15&lt;=$F18,P$15+6&gt;=$F18)),3,""),IF(AND(P$15&lt;=$F18,P$15+6&gt;=$E18),IF($I18="Milestone",IF(AND(OR($D18="Complete",$D18="Submitted"),$F18&gt;Sources!$C$5),"T",2),IF(AND(OR($D18="Complete",$D18="Submitted"),P$15&gt;Sources!$C$5),4,1)),"")))</x:f>
      </x:c>
      <x:c r="Q18" s="35" t="str">
        <x:f>IF(OR($E18="",$F18=""),"",IF($I18="Either date",IF(OR(AND(Q$15&lt;=$E18,Q$15+6&gt;=$E18),AND(Q$15&lt;=$F18,Q$15+6&gt;=$F18)),3,""),IF(AND(Q$15&lt;=$F18,Q$15+6&gt;=$E18),IF($I18="Milestone",IF(AND(OR($D18="Complete",$D18="Submitted"),$F18&gt;Sources!$C$5),"T",2),IF(AND(OR($D18="Complete",$D18="Submitted"),Q$15&gt;Sources!$C$5),4,1)),"")))</x:f>
      </x:c>
      <x:c r="R18" s="35" t="str">
        <x:f>IF(OR($E18="",$F18=""),"",IF($I18="Either date",IF(OR(AND(R$15&lt;=$E18,R$15+6&gt;=$E18),AND(R$15&lt;=$F18,R$15+6&gt;=$F18)),3,""),IF(AND(R$15&lt;=$F18,R$15+6&gt;=$E18),IF($I18="Milestone",IF(AND(OR($D18="Complete",$D18="Submitted"),$F18&gt;Sources!$C$5),"T",2),IF(AND(OR($D18="Complete",$D18="Submitted"),R$15&gt;Sources!$C$5),4,1)),"")))</x:f>
      </x:c>
      <x:c r="S18" s="35" t="str">
        <x:f>IF(OR($E18="",$F18=""),"",IF($I18="Either date",IF(OR(AND(S$15&lt;=$E18,S$15+6&gt;=$E18),AND(S$15&lt;=$F18,S$15+6&gt;=$F18)),3,""),IF(AND(S$15&lt;=$F18,S$15+6&gt;=$E18),IF($I18="Milestone",IF(AND(OR($D18="Complete",$D18="Submitted"),$F18&gt;Sources!$C$5),"T",2),IF(AND(OR($D18="Complete",$D18="Submitted"),S$15&gt;Sources!$C$5),4,1)),"")))</x:f>
      </x:c>
      <x:c r="T18" s="35" t="str">
        <x:f>IF(OR($E18="",$F18=""),"",IF($I18="Either date",IF(OR(AND(T$15&lt;=$E18,T$15+6&gt;=$E18),AND(T$15&lt;=$F18,T$15+6&gt;=$F18)),3,""),IF(AND(T$15&lt;=$F18,T$15+6&gt;=$E18),IF($I18="Milestone",IF(AND(OR($D18="Complete",$D18="Submitted"),$F18&gt;Sources!$C$5),"T",2),IF(AND(OR($D18="Complete",$D18="Submitted"),T$15&gt;Sources!$C$5),4,1)),"")))</x:f>
      </x:c>
      <x:c r="U18" s="2"/>
      <x:c r="V18" s="2" t="str">
        <x:v>Completed in the earlier project stages.</x:v>
      </x:c>
      <x:c r="W18" s="18" t="str">
        <x:v>All FS / TS</x:v>
      </x:c>
      <x:c r="X18" s="18" t="str">
        <x:v>Submitted Gantt</x:v>
      </x:c>
    </x:row>
    <x:row r="19" ht="38" customHeight="1">
      <x:c r="A19" s="2" t="str">
        <x:v>R3</x:v>
      </x:c>
      <x:c r="B19" s="18" t="str">
        <x:v>Write architecture and three-prototype plan</x:v>
      </x:c>
      <x:c r="C19" s="18" t="str">
        <x:v>All four</x:v>
      </x:c>
      <x:c r="D19" s="2" t="str">
        <x:v>Complete</x:v>
      </x:c>
      <x:c r="E19" s="15" t="d">
        <x:v>2026-10-02T00:00:00.000Z</x:v>
      </x:c>
      <x:c r="F19" s="15" t="d">
        <x:v>2026-10-05T00:00:00.000Z</x:v>
      </x:c>
      <x:c r="G19" s="2" t="n">
        <x:f>IF(OR(E19="",F19="",I19="Either date"),"",IF(F19&lt;E19,"Review",F19-E19+1))</x:f>
        <x:v>4</x:v>
      </x:c>
      <x:c r="H19" s="18" t="str">
        <x:v>R2</x:v>
      </x:c>
      <x:c r="I19" s="18" t="str">
        <x:v>Window</x:v>
      </x:c>
      <x:c r="J19" s="35" t="n">
        <x:f>IF(OR($E19="",$F19=""),"",IF($I19="Either date",IF(OR(AND(J$15&lt;=$E19,J$15+6&gt;=$E19),AND(J$15&lt;=$F19,J$15+6&gt;=$F19)),3,""),IF(AND(J$15&lt;=$F19,J$15+6&gt;=$E19),IF($I19="Milestone",IF(AND(OR($D19="Complete",$D19="Submitted"),$F19&gt;Sources!$C$5),"T",2),IF(AND(OR($D19="Complete",$D19="Submitted"),J$15&gt;Sources!$C$5),4,1)),"")))</x:f>
        <x:v>1</x:v>
      </x:c>
      <x:c r="K19" s="35" t="n">
        <x:f>IF(OR($E19="",$F19=""),"",IF($I19="Either date",IF(OR(AND(K$15&lt;=$E19,K$15+6&gt;=$E19),AND(K$15&lt;=$F19,K$15+6&gt;=$F19)),3,""),IF(AND(K$15&lt;=$F19,K$15+6&gt;=$E19),IF($I19="Milestone",IF(AND(OR($D19="Complete",$D19="Submitted"),$F19&gt;Sources!$C$5),"T",2),IF(AND(OR($D19="Complete",$D19="Submitted"),K$15&gt;Sources!$C$5),4,1)),"")))</x:f>
        <x:v>1</x:v>
      </x:c>
      <x:c r="L19" s="35" t="str">
        <x:f>IF(OR($E19="",$F19=""),"",IF($I19="Either date",IF(OR(AND(L$15&lt;=$E19,L$15+6&gt;=$E19),AND(L$15&lt;=$F19,L$15+6&gt;=$F19)),3,""),IF(AND(L$15&lt;=$F19,L$15+6&gt;=$E19),IF($I19="Milestone",IF(AND(OR($D19="Complete",$D19="Submitted"),$F19&gt;Sources!$C$5),"T",2),IF(AND(OR($D19="Complete",$D19="Submitted"),L$15&gt;Sources!$C$5),4,1)),"")))</x:f>
      </x:c>
      <x:c r="M19" s="35" t="str">
        <x:f>IF(OR($E19="",$F19=""),"",IF($I19="Either date",IF(OR(AND(M$15&lt;=$E19,M$15+6&gt;=$E19),AND(M$15&lt;=$F19,M$15+6&gt;=$F19)),3,""),IF(AND(M$15&lt;=$F19,M$15+6&gt;=$E19),IF($I19="Milestone",IF(AND(OR($D19="Complete",$D19="Submitted"),$F19&gt;Sources!$C$5),"T",2),IF(AND(OR($D19="Complete",$D19="Submitted"),M$15&gt;Sources!$C$5),4,1)),"")))</x:f>
      </x:c>
      <x:c r="N19" s="35" t="str">
        <x:f>IF(OR($E19="",$F19=""),"",IF($I19="Either date",IF(OR(AND(N$15&lt;=$E19,N$15+6&gt;=$E19),AND(N$15&lt;=$F19,N$15+6&gt;=$F19)),3,""),IF(AND(N$15&lt;=$F19,N$15+6&gt;=$E19),IF($I19="Milestone",IF(AND(OR($D19="Complete",$D19="Submitted"),$F19&gt;Sources!$C$5),"T",2),IF(AND(OR($D19="Complete",$D19="Submitted"),N$15&gt;Sources!$C$5),4,1)),"")))</x:f>
      </x:c>
      <x:c r="O19" s="35" t="str">
        <x:f>IF(OR($E19="",$F19=""),"",IF($I19="Either date",IF(OR(AND(O$15&lt;=$E19,O$15+6&gt;=$E19),AND(O$15&lt;=$F19,O$15+6&gt;=$F19)),3,""),IF(AND(O$15&lt;=$F19,O$15+6&gt;=$E19),IF($I19="Milestone",IF(AND(OR($D19="Complete",$D19="Submitted"),$F19&gt;Sources!$C$5),"T",2),IF(AND(OR($D19="Complete",$D19="Submitted"),O$15&gt;Sources!$C$5),4,1)),"")))</x:f>
      </x:c>
      <x:c r="P19" s="35" t="str">
        <x:f>IF(OR($E19="",$F19=""),"",IF($I19="Either date",IF(OR(AND(P$15&lt;=$E19,P$15+6&gt;=$E19),AND(P$15&lt;=$F19,P$15+6&gt;=$F19)),3,""),IF(AND(P$15&lt;=$F19,P$15+6&gt;=$E19),IF($I19="Milestone",IF(AND(OR($D19="Complete",$D19="Submitted"),$F19&gt;Sources!$C$5),"T",2),IF(AND(OR($D19="Complete",$D19="Submitted"),P$15&gt;Sources!$C$5),4,1)),"")))</x:f>
      </x:c>
      <x:c r="Q19" s="35" t="str">
        <x:f>IF(OR($E19="",$F19=""),"",IF($I19="Either date",IF(OR(AND(Q$15&lt;=$E19,Q$15+6&gt;=$E19),AND(Q$15&lt;=$F19,Q$15+6&gt;=$F19)),3,""),IF(AND(Q$15&lt;=$F19,Q$15+6&gt;=$E19),IF($I19="Milestone",IF(AND(OR($D19="Complete",$D19="Submitted"),$F19&gt;Sources!$C$5),"T",2),IF(AND(OR($D19="Complete",$D19="Submitted"),Q$15&gt;Sources!$C$5),4,1)),"")))</x:f>
      </x:c>
      <x:c r="R19" s="35" t="str">
        <x:f>IF(OR($E19="",$F19=""),"",IF($I19="Either date",IF(OR(AND(R$15&lt;=$E19,R$15+6&gt;=$E19),AND(R$15&lt;=$F19,R$15+6&gt;=$F19)),3,""),IF(AND(R$15&lt;=$F19,R$15+6&gt;=$E19),IF($I19="Milestone",IF(AND(OR($D19="Complete",$D19="Submitted"),$F19&gt;Sources!$C$5),"T",2),IF(AND(OR($D19="Complete",$D19="Submitted"),R$15&gt;Sources!$C$5),4,1)),"")))</x:f>
      </x:c>
      <x:c r="S19" s="35" t="str">
        <x:f>IF(OR($E19="",$F19=""),"",IF($I19="Either date",IF(OR(AND(S$15&lt;=$E19,S$15+6&gt;=$E19),AND(S$15&lt;=$F19,S$15+6&gt;=$F19)),3,""),IF(AND(S$15&lt;=$F19,S$15+6&gt;=$E19),IF($I19="Milestone",IF(AND(OR($D19="Complete",$D19="Submitted"),$F19&gt;Sources!$C$5),"T",2),IF(AND(OR($D19="Complete",$D19="Submitted"),S$15&gt;Sources!$C$5),4,1)),"")))</x:f>
      </x:c>
      <x:c r="T19" s="35" t="str">
        <x:f>IF(OR($E19="",$F19=""),"",IF($I19="Either date",IF(OR(AND(T$15&lt;=$E19,T$15+6&gt;=$E19),AND(T$15&lt;=$F19,T$15+6&gt;=$F19)),3,""),IF(AND(T$15&lt;=$F19,T$15+6&gt;=$E19),IF($I19="Milestone",IF(AND(OR($D19="Complete",$D19="Submitted"),$F19&gt;Sources!$C$5),"T",2),IF(AND(OR($D19="Complete",$D19="Submitted"),T$15&gt;Sources!$C$5),4,1)),"")))</x:f>
      </x:c>
      <x:c r="U19" s="2"/>
      <x:c r="V19" s="2" t="str">
        <x:v>Completed in the earlier project stages.</x:v>
      </x:c>
      <x:c r="W19" s="18" t="str">
        <x:v>All FS / TS</x:v>
      </x:c>
      <x:c r="X19" s="18" t="str">
        <x:v>Submitted Gantt</x:v>
      </x:c>
    </x:row>
    <x:row r="20" ht="38" customHeight="1">
      <x:c r="A20" s="36" t="str">
        <x:v>R4</x:v>
      </x:c>
      <x:c r="B20" s="37" t="str">
        <x:v>Define measurable verification and validation methods</x:v>
      </x:c>
      <x:c r="C20" s="37" t="str">
        <x:v>All four</x:v>
      </x:c>
      <x:c r="D20" s="36" t="str">
        <x:v>Complete</x:v>
      </x:c>
      <x:c r="E20" s="38" t="d">
        <x:v>2026-10-06T00:00:00.000Z</x:v>
      </x:c>
      <x:c r="F20" s="38" t="d">
        <x:v>2026-10-09T00:00:00.000Z</x:v>
      </x:c>
      <x:c r="G20" s="36" t="n">
        <x:f>IF(OR(E20="",F20="",I20="Either date"),"",IF(F20&lt;E20,"Review",F20-E20+1))</x:f>
        <x:v>4</x:v>
      </x:c>
      <x:c r="H20" s="37" t="str">
        <x:v>R3</x:v>
      </x:c>
      <x:c r="I20" s="37" t="str">
        <x:v>Window</x:v>
      </x:c>
      <x:c r="J20" s="35" t="str">
        <x:f>IF(OR($E20="",$F20=""),"",IF($I20="Either date",IF(OR(AND(J$15&lt;=$E20,J$15+6&gt;=$E20),AND(J$15&lt;=$F20,J$15+6&gt;=$F20)),3,""),IF(AND(J$15&lt;=$F20,J$15+6&gt;=$E20),IF($I20="Milestone",IF(AND(OR($D20="Complete",$D20="Submitted"),$F20&gt;Sources!$C$5),"T",2),IF(AND(OR($D20="Complete",$D20="Submitted"),J$15&gt;Sources!$C$5),4,1)),"")))</x:f>
      </x:c>
      <x:c r="K20" s="35" t="n">
        <x:f>IF(OR($E20="",$F20=""),"",IF($I20="Either date",IF(OR(AND(K$15&lt;=$E20,K$15+6&gt;=$E20),AND(K$15&lt;=$F20,K$15+6&gt;=$F20)),3,""),IF(AND(K$15&lt;=$F20,K$15+6&gt;=$E20),IF($I20="Milestone",IF(AND(OR($D20="Complete",$D20="Submitted"),$F20&gt;Sources!$C$5),"T",2),IF(AND(OR($D20="Complete",$D20="Submitted"),K$15&gt;Sources!$C$5),4,1)),"")))</x:f>
        <x:v>1</x:v>
      </x:c>
      <x:c r="L20" s="35" t="str">
        <x:f>IF(OR($E20="",$F20=""),"",IF($I20="Either date",IF(OR(AND(L$15&lt;=$E20,L$15+6&gt;=$E20),AND(L$15&lt;=$F20,L$15+6&gt;=$F20)),3,""),IF(AND(L$15&lt;=$F20,L$15+6&gt;=$E20),IF($I20="Milestone",IF(AND(OR($D20="Complete",$D20="Submitted"),$F20&gt;Sources!$C$5),"T",2),IF(AND(OR($D20="Complete",$D20="Submitted"),L$15&gt;Sources!$C$5),4,1)),"")))</x:f>
      </x:c>
      <x:c r="M20" s="35" t="str">
        <x:f>IF(OR($E20="",$F20=""),"",IF($I20="Either date",IF(OR(AND(M$15&lt;=$E20,M$15+6&gt;=$E20),AND(M$15&lt;=$F20,M$15+6&gt;=$F20)),3,""),IF(AND(M$15&lt;=$F20,M$15+6&gt;=$E20),IF($I20="Milestone",IF(AND(OR($D20="Complete",$D20="Submitted"),$F20&gt;Sources!$C$5),"T",2),IF(AND(OR($D20="Complete",$D20="Submitted"),M$15&gt;Sources!$C$5),4,1)),"")))</x:f>
      </x:c>
      <x:c r="N20" s="35" t="str">
        <x:f>IF(OR($E20="",$F20=""),"",IF($I20="Either date",IF(OR(AND(N$15&lt;=$E20,N$15+6&gt;=$E20),AND(N$15&lt;=$F20,N$15+6&gt;=$F20)),3,""),IF(AND(N$15&lt;=$F20,N$15+6&gt;=$E20),IF($I20="Milestone",IF(AND(OR($D20="Complete",$D20="Submitted"),$F20&gt;Sources!$C$5),"T",2),IF(AND(OR($D20="Complete",$D20="Submitted"),N$15&gt;Sources!$C$5),4,1)),"")))</x:f>
      </x:c>
      <x:c r="O20" s="35" t="str">
        <x:f>IF(OR($E20="",$F20=""),"",IF($I20="Either date",IF(OR(AND(O$15&lt;=$E20,O$15+6&gt;=$E20),AND(O$15&lt;=$F20,O$15+6&gt;=$F20)),3,""),IF(AND(O$15&lt;=$F20,O$15+6&gt;=$E20),IF($I20="Milestone",IF(AND(OR($D20="Complete",$D20="Submitted"),$F20&gt;Sources!$C$5),"T",2),IF(AND(OR($D20="Complete",$D20="Submitted"),O$15&gt;Sources!$C$5),4,1)),"")))</x:f>
      </x:c>
      <x:c r="P20" s="35" t="str">
        <x:f>IF(OR($E20="",$F20=""),"",IF($I20="Either date",IF(OR(AND(P$15&lt;=$E20,P$15+6&gt;=$E20),AND(P$15&lt;=$F20,P$15+6&gt;=$F20)),3,""),IF(AND(P$15&lt;=$F20,P$15+6&gt;=$E20),IF($I20="Milestone",IF(AND(OR($D20="Complete",$D20="Submitted"),$F20&gt;Sources!$C$5),"T",2),IF(AND(OR($D20="Complete",$D20="Submitted"),P$15&gt;Sources!$C$5),4,1)),"")))</x:f>
      </x:c>
      <x:c r="Q20" s="35" t="str">
        <x:f>IF(OR($E20="",$F20=""),"",IF($I20="Either date",IF(OR(AND(Q$15&lt;=$E20,Q$15+6&gt;=$E20),AND(Q$15&lt;=$F20,Q$15+6&gt;=$F20)),3,""),IF(AND(Q$15&lt;=$F20,Q$15+6&gt;=$E20),IF($I20="Milestone",IF(AND(OR($D20="Complete",$D20="Submitted"),$F20&gt;Sources!$C$5),"T",2),IF(AND(OR($D20="Complete",$D20="Submitted"),Q$15&gt;Sources!$C$5),4,1)),"")))</x:f>
      </x:c>
      <x:c r="R20" s="35" t="str">
        <x:f>IF(OR($E20="",$F20=""),"",IF($I20="Either date",IF(OR(AND(R$15&lt;=$E20,R$15+6&gt;=$E20),AND(R$15&lt;=$F20,R$15+6&gt;=$F20)),3,""),IF(AND(R$15&lt;=$F20,R$15+6&gt;=$E20),IF($I20="Milestone",IF(AND(OR($D20="Complete",$D20="Submitted"),$F20&gt;Sources!$C$5),"T",2),IF(AND(OR($D20="Complete",$D20="Submitted"),R$15&gt;Sources!$C$5),4,1)),"")))</x:f>
      </x:c>
      <x:c r="S20" s="35" t="str">
        <x:f>IF(OR($E20="",$F20=""),"",IF($I20="Either date",IF(OR(AND(S$15&lt;=$E20,S$15+6&gt;=$E20),AND(S$15&lt;=$F20,S$15+6&gt;=$F20)),3,""),IF(AND(S$15&lt;=$F20,S$15+6&gt;=$E20),IF($I20="Milestone",IF(AND(OR($D20="Complete",$D20="Submitted"),$F20&gt;Sources!$C$5),"T",2),IF(AND(OR($D20="Complete",$D20="Submitted"),S$15&gt;Sources!$C$5),4,1)),"")))</x:f>
      </x:c>
      <x:c r="T20" s="35" t="str">
        <x:f>IF(OR($E20="",$F20=""),"",IF($I20="Either date",IF(OR(AND(T$15&lt;=$E20,T$15+6&gt;=$E20),AND(T$15&lt;=$F20,T$15+6&gt;=$F20)),3,""),IF(AND(T$15&lt;=$F20,T$15+6&gt;=$E20),IF($I20="Milestone",IF(AND(OR($D20="Complete",$D20="Submitted"),$F20&gt;Sources!$C$5),"T",2),IF(AND(OR($D20="Complete",$D20="Submitted"),T$15&gt;Sources!$C$5),4,1)),"")))</x:f>
      </x:c>
      <x:c r="U20" s="2"/>
      <x:c r="V20" s="2" t="str">
        <x:v>Completed in the earlier project stages.</x:v>
      </x:c>
      <x:c r="W20" s="18" t="str">
        <x:v>All FS / TS</x:v>
      </x:c>
      <x:c r="X20" s="18" t="str">
        <x:v>Submitted Gantt</x:v>
      </x:c>
    </x:row>
    <x:row r="21" ht="38" customHeight="1">
      <x:c r="A21" s="2" t="str">
        <x:v>R5</x:v>
      </x:c>
      <x:c r="B21" s="18" t="str">
        <x:v>Review and submit verification and validation plan</x:v>
      </x:c>
      <x:c r="C21" s="18" t="str">
        <x:v>All four</x:v>
      </x:c>
      <x:c r="D21" s="2" t="str">
        <x:v>Complete</x:v>
      </x:c>
      <x:c r="E21" s="15" t="d">
        <x:v>2026-10-12T00:00:00.000Z</x:v>
      </x:c>
      <x:c r="F21" s="15" t="d">
        <x:v>2026-10-12T00:00:00.000Z</x:v>
      </x:c>
      <x:c r="G21" s="2" t="n">
        <x:f>IF(OR(E21="",F21="",I21="Either date"),"",IF(F21&lt;E21,"Review",F21-E21+1))</x:f>
        <x:v>1</x:v>
      </x:c>
      <x:c r="H21" s="18" t="str">
        <x:v>R4</x:v>
      </x:c>
      <x:c r="I21" s="18" t="str">
        <x:v>Window</x:v>
      </x:c>
      <x:c r="J21" s="35" t="str">
        <x:f>IF(OR($E21="",$F21=""),"",IF($I21="Either date",IF(OR(AND(J$15&lt;=$E21,J$15+6&gt;=$E21),AND(J$15&lt;=$F21,J$15+6&gt;=$F21)),3,""),IF(AND(J$15&lt;=$F21,J$15+6&gt;=$E21),IF($I21="Milestone",IF(AND(OR($D21="Complete",$D21="Submitted"),$F21&gt;Sources!$C$5),"T",2),IF(AND(OR($D21="Complete",$D21="Submitted"),J$15&gt;Sources!$C$5),4,1)),"")))</x:f>
      </x:c>
      <x:c r="K21" s="35" t="str">
        <x:f>IF(OR($E21="",$F21=""),"",IF($I21="Either date",IF(OR(AND(K$15&lt;=$E21,K$15+6&gt;=$E21),AND(K$15&lt;=$F21,K$15+6&gt;=$F21)),3,""),IF(AND(K$15&lt;=$F21,K$15+6&gt;=$E21),IF($I21="Milestone",IF(AND(OR($D21="Complete",$D21="Submitted"),$F21&gt;Sources!$C$5),"T",2),IF(AND(OR($D21="Complete",$D21="Submitted"),K$15&gt;Sources!$C$5),4,1)),"")))</x:f>
      </x:c>
      <x:c r="L21" s="35" t="n">
        <x:f>IF(OR($E21="",$F21=""),"",IF($I21="Either date",IF(OR(AND(L$15&lt;=$E21,L$15+6&gt;=$E21),AND(L$15&lt;=$F21,L$15+6&gt;=$F21)),3,""),IF(AND(L$15&lt;=$F21,L$15+6&gt;=$E21),IF($I21="Milestone",IF(AND(OR($D21="Complete",$D21="Submitted"),$F21&gt;Sources!$C$5),"T",2),IF(AND(OR($D21="Complete",$D21="Submitted"),L$15&gt;Sources!$C$5),4,1)),"")))</x:f>
        <x:v>1</x:v>
      </x:c>
      <x:c r="M21" s="35" t="str">
        <x:f>IF(OR($E21="",$F21=""),"",IF($I21="Either date",IF(OR(AND(M$15&lt;=$E21,M$15+6&gt;=$E21),AND(M$15&lt;=$F21,M$15+6&gt;=$F21)),3,""),IF(AND(M$15&lt;=$F21,M$15+6&gt;=$E21),IF($I21="Milestone",IF(AND(OR($D21="Complete",$D21="Submitted"),$F21&gt;Sources!$C$5),"T",2),IF(AND(OR($D21="Complete",$D21="Submitted"),M$15&gt;Sources!$C$5),4,1)),"")))</x:f>
      </x:c>
      <x:c r="N21" s="35" t="str">
        <x:f>IF(OR($E21="",$F21=""),"",IF($I21="Either date",IF(OR(AND(N$15&lt;=$E21,N$15+6&gt;=$E21),AND(N$15&lt;=$F21,N$15+6&gt;=$F21)),3,""),IF(AND(N$15&lt;=$F21,N$15+6&gt;=$E21),IF($I21="Milestone",IF(AND(OR($D21="Complete",$D21="Submitted"),$F21&gt;Sources!$C$5),"T",2),IF(AND(OR($D21="Complete",$D21="Submitted"),N$15&gt;Sources!$C$5),4,1)),"")))</x:f>
      </x:c>
      <x:c r="O21" s="35" t="str">
        <x:f>IF(OR($E21="",$F21=""),"",IF($I21="Either date",IF(OR(AND(O$15&lt;=$E21,O$15+6&gt;=$E21),AND(O$15&lt;=$F21,O$15+6&gt;=$F21)),3,""),IF(AND(O$15&lt;=$F21,O$15+6&gt;=$E21),IF($I21="Milestone",IF(AND(OR($D21="Complete",$D21="Submitted"),$F21&gt;Sources!$C$5),"T",2),IF(AND(OR($D21="Complete",$D21="Submitted"),O$15&gt;Sources!$C$5),4,1)),"")))</x:f>
      </x:c>
      <x:c r="P21" s="35" t="str">
        <x:f>IF(OR($E21="",$F21=""),"",IF($I21="Either date",IF(OR(AND(P$15&lt;=$E21,P$15+6&gt;=$E21),AND(P$15&lt;=$F21,P$15+6&gt;=$F21)),3,""),IF(AND(P$15&lt;=$F21,P$15+6&gt;=$E21),IF($I21="Milestone",IF(AND(OR($D21="Complete",$D21="Submitted"),$F21&gt;Sources!$C$5),"T",2),IF(AND(OR($D21="Complete",$D21="Submitted"),P$15&gt;Sources!$C$5),4,1)),"")))</x:f>
      </x:c>
      <x:c r="Q21" s="35" t="str">
        <x:f>IF(OR($E21="",$F21=""),"",IF($I21="Either date",IF(OR(AND(Q$15&lt;=$E21,Q$15+6&gt;=$E21),AND(Q$15&lt;=$F21,Q$15+6&gt;=$F21)),3,""),IF(AND(Q$15&lt;=$F21,Q$15+6&gt;=$E21),IF($I21="Milestone",IF(AND(OR($D21="Complete",$D21="Submitted"),$F21&gt;Sources!$C$5),"T",2),IF(AND(OR($D21="Complete",$D21="Submitted"),Q$15&gt;Sources!$C$5),4,1)),"")))</x:f>
      </x:c>
      <x:c r="R21" s="35" t="str">
        <x:f>IF(OR($E21="",$F21=""),"",IF($I21="Either date",IF(OR(AND(R$15&lt;=$E21,R$15+6&gt;=$E21),AND(R$15&lt;=$F21,R$15+6&gt;=$F21)),3,""),IF(AND(R$15&lt;=$F21,R$15+6&gt;=$E21),IF($I21="Milestone",IF(AND(OR($D21="Complete",$D21="Submitted"),$F21&gt;Sources!$C$5),"T",2),IF(AND(OR($D21="Complete",$D21="Submitted"),R$15&gt;Sources!$C$5),4,1)),"")))</x:f>
      </x:c>
      <x:c r="S21" s="35" t="str">
        <x:f>IF(OR($E21="",$F21=""),"",IF($I21="Either date",IF(OR(AND(S$15&lt;=$E21,S$15+6&gt;=$E21),AND(S$15&lt;=$F21,S$15+6&gt;=$F21)),3,""),IF(AND(S$15&lt;=$F21,S$15+6&gt;=$E21),IF($I21="Milestone",IF(AND(OR($D21="Complete",$D21="Submitted"),$F21&gt;Sources!$C$5),"T",2),IF(AND(OR($D21="Complete",$D21="Submitted"),S$15&gt;Sources!$C$5),4,1)),"")))</x:f>
      </x:c>
      <x:c r="T21" s="35" t="str">
        <x:f>IF(OR($E21="",$F21=""),"",IF($I21="Either date",IF(OR(AND(T$15&lt;=$E21,T$15+6&gt;=$E21),AND(T$15&lt;=$F21,T$15+6&gt;=$F21)),3,""),IF(AND(T$15&lt;=$F21,T$15+6&gt;=$E21),IF($I21="Milestone",IF(AND(OR($D21="Complete",$D21="Submitted"),$F21&gt;Sources!$C$5),"T",2),IF(AND(OR($D21="Complete",$D21="Submitted"),T$15&gt;Sources!$C$5),4,1)),"")))</x:f>
      </x:c>
      <x:c r="U21" s="2"/>
      <x:c r="V21" s="2" t="str">
        <x:v>Completed in the earlier project stages.</x:v>
      </x:c>
      <x:c r="W21" s="18" t="str">
        <x:v>All FS / TS</x:v>
      </x:c>
      <x:c r="X21" s="18" t="str">
        <x:v>Submitted Gantt</x:v>
      </x:c>
    </x:row>
    <x:row r="22" ht="38" customHeight="1">
      <x:c r="A22" s="36" t="str">
        <x:v>R6</x:v>
      </x:c>
      <x:c r="B22" s="37" t="str">
        <x:v>Revise brainstorming document and resubmit</x:v>
      </x:c>
      <x:c r="C22" s="37" t="str">
        <x:v>Joe</x:v>
      </x:c>
      <x:c r="D22" s="36" t="str">
        <x:v>Complete</x:v>
      </x:c>
      <x:c r="E22" s="38" t="d">
        <x:v>2026-10-13T00:00:00.000Z</x:v>
      </x:c>
      <x:c r="F22" s="38" t="d">
        <x:v>2026-10-14T00:00:00.000Z</x:v>
      </x:c>
      <x:c r="G22" s="36" t="n">
        <x:f>IF(OR(E22="",F22="",I22="Either date"),"",IF(F22&lt;E22,"Review",F22-E22+1))</x:f>
        <x:v>2</x:v>
      </x:c>
      <x:c r="H22" s="37" t="str">
        <x:v>R1</x:v>
      </x:c>
      <x:c r="I22" s="37" t="str">
        <x:v>Window</x:v>
      </x:c>
      <x:c r="J22" s="35" t="str">
        <x:f>IF(OR($E22="",$F22=""),"",IF($I22="Either date",IF(OR(AND(J$15&lt;=$E22,J$15+6&gt;=$E22),AND(J$15&lt;=$F22,J$15+6&gt;=$F22)),3,""),IF(AND(J$15&lt;=$F22,J$15+6&gt;=$E22),IF($I22="Milestone",IF(AND(OR($D22="Complete",$D22="Submitted"),$F22&gt;Sources!$C$5),"T",2),IF(AND(OR($D22="Complete",$D22="Submitted"),J$15&gt;Sources!$C$5),4,1)),"")))</x:f>
      </x:c>
      <x:c r="K22" s="35" t="str">
        <x:f>IF(OR($E22="",$F22=""),"",IF($I22="Either date",IF(OR(AND(K$15&lt;=$E22,K$15+6&gt;=$E22),AND(K$15&lt;=$F22,K$15+6&gt;=$F22)),3,""),IF(AND(K$15&lt;=$F22,K$15+6&gt;=$E22),IF($I22="Milestone",IF(AND(OR($D22="Complete",$D22="Submitted"),$F22&gt;Sources!$C$5),"T",2),IF(AND(OR($D22="Complete",$D22="Submitted"),K$15&gt;Sources!$C$5),4,1)),"")))</x:f>
      </x:c>
      <x:c r="L22" s="35" t="n">
        <x:f>IF(OR($E22="",$F22=""),"",IF($I22="Either date",IF(OR(AND(L$15&lt;=$E22,L$15+6&gt;=$E22),AND(L$15&lt;=$F22,L$15+6&gt;=$F22)),3,""),IF(AND(L$15&lt;=$F22,L$15+6&gt;=$E22),IF($I22="Milestone",IF(AND(OR($D22="Complete",$D22="Submitted"),$F22&gt;Sources!$C$5),"T",2),IF(AND(OR($D22="Complete",$D22="Submitted"),L$15&gt;Sources!$C$5),4,1)),"")))</x:f>
        <x:v>1</x:v>
      </x:c>
      <x:c r="M22" s="35" t="str">
        <x:f>IF(OR($E22="",$F22=""),"",IF($I22="Either date",IF(OR(AND(M$15&lt;=$E22,M$15+6&gt;=$E22),AND(M$15&lt;=$F22,M$15+6&gt;=$F22)),3,""),IF(AND(M$15&lt;=$F22,M$15+6&gt;=$E22),IF($I22="Milestone",IF(AND(OR($D22="Complete",$D22="Submitted"),$F22&gt;Sources!$C$5),"T",2),IF(AND(OR($D22="Complete",$D22="Submitted"),M$15&gt;Sources!$C$5),4,1)),"")))</x:f>
      </x:c>
      <x:c r="N22" s="35" t="str">
        <x:f>IF(OR($E22="",$F22=""),"",IF($I22="Either date",IF(OR(AND(N$15&lt;=$E22,N$15+6&gt;=$E22),AND(N$15&lt;=$F22,N$15+6&gt;=$F22)),3,""),IF(AND(N$15&lt;=$F22,N$15+6&gt;=$E22),IF($I22="Milestone",IF(AND(OR($D22="Complete",$D22="Submitted"),$F22&gt;Sources!$C$5),"T",2),IF(AND(OR($D22="Complete",$D22="Submitted"),N$15&gt;Sources!$C$5),4,1)),"")))</x:f>
      </x:c>
      <x:c r="O22" s="35" t="str">
        <x:f>IF(OR($E22="",$F22=""),"",IF($I22="Either date",IF(OR(AND(O$15&lt;=$E22,O$15+6&gt;=$E22),AND(O$15&lt;=$F22,O$15+6&gt;=$F22)),3,""),IF(AND(O$15&lt;=$F22,O$15+6&gt;=$E22),IF($I22="Milestone",IF(AND(OR($D22="Complete",$D22="Submitted"),$F22&gt;Sources!$C$5),"T",2),IF(AND(OR($D22="Complete",$D22="Submitted"),O$15&gt;Sources!$C$5),4,1)),"")))</x:f>
      </x:c>
      <x:c r="P22" s="35" t="str">
        <x:f>IF(OR($E22="",$F22=""),"",IF($I22="Either date",IF(OR(AND(P$15&lt;=$E22,P$15+6&gt;=$E22),AND(P$15&lt;=$F22,P$15+6&gt;=$F22)),3,""),IF(AND(P$15&lt;=$F22,P$15+6&gt;=$E22),IF($I22="Milestone",IF(AND(OR($D22="Complete",$D22="Submitted"),$F22&gt;Sources!$C$5),"T",2),IF(AND(OR($D22="Complete",$D22="Submitted"),P$15&gt;Sources!$C$5),4,1)),"")))</x:f>
      </x:c>
      <x:c r="Q22" s="35" t="str">
        <x:f>IF(OR($E22="",$F22=""),"",IF($I22="Either date",IF(OR(AND(Q$15&lt;=$E22,Q$15+6&gt;=$E22),AND(Q$15&lt;=$F22,Q$15+6&gt;=$F22)),3,""),IF(AND(Q$15&lt;=$F22,Q$15+6&gt;=$E22),IF($I22="Milestone",IF(AND(OR($D22="Complete",$D22="Submitted"),$F22&gt;Sources!$C$5),"T",2),IF(AND(OR($D22="Complete",$D22="Submitted"),Q$15&gt;Sources!$C$5),4,1)),"")))</x:f>
      </x:c>
      <x:c r="R22" s="35" t="str">
        <x:f>IF(OR($E22="",$F22=""),"",IF($I22="Either date",IF(OR(AND(R$15&lt;=$E22,R$15+6&gt;=$E22),AND(R$15&lt;=$F22,R$15+6&gt;=$F22)),3,""),IF(AND(R$15&lt;=$F22,R$15+6&gt;=$E22),IF($I22="Milestone",IF(AND(OR($D22="Complete",$D22="Submitted"),$F22&gt;Sources!$C$5),"T",2),IF(AND(OR($D22="Complete",$D22="Submitted"),R$15&gt;Sources!$C$5),4,1)),"")))</x:f>
      </x:c>
      <x:c r="S22" s="35" t="str">
        <x:f>IF(OR($E22="",$F22=""),"",IF($I22="Either date",IF(OR(AND(S$15&lt;=$E22,S$15+6&gt;=$E22),AND(S$15&lt;=$F22,S$15+6&gt;=$F22)),3,""),IF(AND(S$15&lt;=$F22,S$15+6&gt;=$E22),IF($I22="Milestone",IF(AND(OR($D22="Complete",$D22="Submitted"),$F22&gt;Sources!$C$5),"T",2),IF(AND(OR($D22="Complete",$D22="Submitted"),S$15&gt;Sources!$C$5),4,1)),"")))</x:f>
      </x:c>
      <x:c r="T22" s="35" t="str">
        <x:f>IF(OR($E22="",$F22=""),"",IF($I22="Either date",IF(OR(AND(T$15&lt;=$E22,T$15+6&gt;=$E22),AND(T$15&lt;=$F22,T$15+6&gt;=$F22)),3,""),IF(AND(T$15&lt;=$F22,T$15+6&gt;=$E22),IF($I22="Milestone",IF(AND(OR($D22="Complete",$D22="Submitted"),$F22&gt;Sources!$C$5),"T",2),IF(AND(OR($D22="Complete",$D22="Submitted"),T$15&gt;Sources!$C$5),4,1)),"")))</x:f>
      </x:c>
      <x:c r="U22" s="2"/>
      <x:c r="V22" s="2" t="str"/>
      <x:c r="W22" s="18" t="str">
        <x:v>All FS / TS</x:v>
      </x:c>
      <x:c r="X22" s="18" t="str">
        <x:v>Week 8 log</x:v>
      </x:c>
    </x:row>
    <x:row r="23" ht="38" customHeight="1">
      <x:c r="A23" s="2" t="str">
        <x:v>R7</x:v>
      </x:c>
      <x:c r="B23" s="18" t="str">
        <x:v>Revise architecture and prototype plan and resubmit</x:v>
      </x:c>
      <x:c r="C23" s="18" t="str">
        <x:v>Joe</x:v>
      </x:c>
      <x:c r="D23" s="2" t="str">
        <x:v>Complete</x:v>
      </x:c>
      <x:c r="E23" s="15" t="d">
        <x:v>2026-10-13T00:00:00.000Z</x:v>
      </x:c>
      <x:c r="F23" s="15" t="d">
        <x:v>2026-10-16T00:00:00.000Z</x:v>
      </x:c>
      <x:c r="G23" s="2" t="n">
        <x:f>IF(OR(E23="",F23="",I23="Either date"),"",IF(F23&lt;E23,"Review",F23-E23+1))</x:f>
        <x:v>4</x:v>
      </x:c>
      <x:c r="H23" s="18" t="str">
        <x:v>R3</x:v>
      </x:c>
      <x:c r="I23" s="18" t="str">
        <x:v>Window</x:v>
      </x:c>
      <x:c r="J23" s="35" t="str">
        <x:f>IF(OR($E23="",$F23=""),"",IF($I23="Either date",IF(OR(AND(J$15&lt;=$E23,J$15+6&gt;=$E23),AND(J$15&lt;=$F23,J$15+6&gt;=$F23)),3,""),IF(AND(J$15&lt;=$F23,J$15+6&gt;=$E23),IF($I23="Milestone",IF(AND(OR($D23="Complete",$D23="Submitted"),$F23&gt;Sources!$C$5),"T",2),IF(AND(OR($D23="Complete",$D23="Submitted"),J$15&gt;Sources!$C$5),4,1)),"")))</x:f>
      </x:c>
      <x:c r="K23" s="35" t="str">
        <x:f>IF(OR($E23="",$F23=""),"",IF($I23="Either date",IF(OR(AND(K$15&lt;=$E23,K$15+6&gt;=$E23),AND(K$15&lt;=$F23,K$15+6&gt;=$F23)),3,""),IF(AND(K$15&lt;=$F23,K$15+6&gt;=$E23),IF($I23="Milestone",IF(AND(OR($D23="Complete",$D23="Submitted"),$F23&gt;Sources!$C$5),"T",2),IF(AND(OR($D23="Complete",$D23="Submitted"),K$15&gt;Sources!$C$5),4,1)),"")))</x:f>
      </x:c>
      <x:c r="L23" s="35" t="n">
        <x:f>IF(OR($E23="",$F23=""),"",IF($I23="Either date",IF(OR(AND(L$15&lt;=$E23,L$15+6&gt;=$E23),AND(L$15&lt;=$F23,L$15+6&gt;=$F23)),3,""),IF(AND(L$15&lt;=$F23,L$15+6&gt;=$E23),IF($I23="Milestone",IF(AND(OR($D23="Complete",$D23="Submitted"),$F23&gt;Sources!$C$5),"T",2),IF(AND(OR($D23="Complete",$D23="Submitted"),L$15&gt;Sources!$C$5),4,1)),"")))</x:f>
        <x:v>1</x:v>
      </x:c>
      <x:c r="M23" s="35" t="str">
        <x:f>IF(OR($E23="",$F23=""),"",IF($I23="Either date",IF(OR(AND(M$15&lt;=$E23,M$15+6&gt;=$E23),AND(M$15&lt;=$F23,M$15+6&gt;=$F23)),3,""),IF(AND(M$15&lt;=$F23,M$15+6&gt;=$E23),IF($I23="Milestone",IF(AND(OR($D23="Complete",$D23="Submitted"),$F23&gt;Sources!$C$5),"T",2),IF(AND(OR($D23="Complete",$D23="Submitted"),M$15&gt;Sources!$C$5),4,1)),"")))</x:f>
      </x:c>
      <x:c r="N23" s="35" t="str">
        <x:f>IF(OR($E23="",$F23=""),"",IF($I23="Either date",IF(OR(AND(N$15&lt;=$E23,N$15+6&gt;=$E23),AND(N$15&lt;=$F23,N$15+6&gt;=$F23)),3,""),IF(AND(N$15&lt;=$F23,N$15+6&gt;=$E23),IF($I23="Milestone",IF(AND(OR($D23="Complete",$D23="Submitted"),$F23&gt;Sources!$C$5),"T",2),IF(AND(OR($D23="Complete",$D23="Submitted"),N$15&gt;Sources!$C$5),4,1)),"")))</x:f>
      </x:c>
      <x:c r="O23" s="35" t="str">
        <x:f>IF(OR($E23="",$F23=""),"",IF($I23="Either date",IF(OR(AND(O$15&lt;=$E23,O$15+6&gt;=$E23),AND(O$15&lt;=$F23,O$15+6&gt;=$F23)),3,""),IF(AND(O$15&lt;=$F23,O$15+6&gt;=$E23),IF($I23="Milestone",IF(AND(OR($D23="Complete",$D23="Submitted"),$F23&gt;Sources!$C$5),"T",2),IF(AND(OR($D23="Complete",$D23="Submitted"),O$15&gt;Sources!$C$5),4,1)),"")))</x:f>
      </x:c>
      <x:c r="P23" s="35" t="str">
        <x:f>IF(OR($E23="",$F23=""),"",IF($I23="Either date",IF(OR(AND(P$15&lt;=$E23,P$15+6&gt;=$E23),AND(P$15&lt;=$F23,P$15+6&gt;=$F23)),3,""),IF(AND(P$15&lt;=$F23,P$15+6&gt;=$E23),IF($I23="Milestone",IF(AND(OR($D23="Complete",$D23="Submitted"),$F23&gt;Sources!$C$5),"T",2),IF(AND(OR($D23="Complete",$D23="Submitted"),P$15&gt;Sources!$C$5),4,1)),"")))</x:f>
      </x:c>
      <x:c r="Q23" s="35" t="str">
        <x:f>IF(OR($E23="",$F23=""),"",IF($I23="Either date",IF(OR(AND(Q$15&lt;=$E23,Q$15+6&gt;=$E23),AND(Q$15&lt;=$F23,Q$15+6&gt;=$F23)),3,""),IF(AND(Q$15&lt;=$F23,Q$15+6&gt;=$E23),IF($I23="Milestone",IF(AND(OR($D23="Complete",$D23="Submitted"),$F23&gt;Sources!$C$5),"T",2),IF(AND(OR($D23="Complete",$D23="Submitted"),Q$15&gt;Sources!$C$5),4,1)),"")))</x:f>
      </x:c>
      <x:c r="R23" s="35" t="str">
        <x:f>IF(OR($E23="",$F23=""),"",IF($I23="Either date",IF(OR(AND(R$15&lt;=$E23,R$15+6&gt;=$E23),AND(R$15&lt;=$F23,R$15+6&gt;=$F23)),3,""),IF(AND(R$15&lt;=$F23,R$15+6&gt;=$E23),IF($I23="Milestone",IF(AND(OR($D23="Complete",$D23="Submitted"),$F23&gt;Sources!$C$5),"T",2),IF(AND(OR($D23="Complete",$D23="Submitted"),R$15&gt;Sources!$C$5),4,1)),"")))</x:f>
      </x:c>
      <x:c r="S23" s="35" t="str">
        <x:f>IF(OR($E23="",$F23=""),"",IF($I23="Either date",IF(OR(AND(S$15&lt;=$E23,S$15+6&gt;=$E23),AND(S$15&lt;=$F23,S$15+6&gt;=$F23)),3,""),IF(AND(S$15&lt;=$F23,S$15+6&gt;=$E23),IF($I23="Milestone",IF(AND(OR($D23="Complete",$D23="Submitted"),$F23&gt;Sources!$C$5),"T",2),IF(AND(OR($D23="Complete",$D23="Submitted"),S$15&gt;Sources!$C$5),4,1)),"")))</x:f>
      </x:c>
      <x:c r="T23" s="35" t="str">
        <x:f>IF(OR($E23="",$F23=""),"",IF($I23="Either date",IF(OR(AND(T$15&lt;=$E23,T$15+6&gt;=$E23),AND(T$15&lt;=$F23,T$15+6&gt;=$F23)),3,""),IF(AND(T$15&lt;=$F23,T$15+6&gt;=$E23),IF($I23="Milestone",IF(AND(OR($D23="Complete",$D23="Submitted"),$F23&gt;Sources!$C$5),"T",2),IF(AND(OR($D23="Complete",$D23="Submitted"),T$15&gt;Sources!$C$5),4,1)),"")))</x:f>
      </x:c>
      <x:c r="U23" s="2"/>
      <x:c r="V23" s="2" t="str"/>
      <x:c r="W23" s="18" t="str">
        <x:v>All FS / TS</x:v>
      </x:c>
      <x:c r="X23" s="18" t="str">
        <x:v>Week 8 log</x:v>
      </x:c>
    </x:row>
    <x:row r="24" ht="38" customHeight="1">
      <x:c r="A24" s="36" t="str">
        <x:v>R8</x:v>
      </x:c>
      <x:c r="B24" s="37" t="str">
        <x:v>Resubmit Concept Selection and Gantt chart</x:v>
      </x:c>
      <x:c r="C24" s="37" t="str">
        <x:v>All four</x:v>
      </x:c>
      <x:c r="D24" s="36" t="str">
        <x:v>Submitted</x:v>
      </x:c>
      <x:c r="E24" s="38"/>
      <x:c r="F24" s="38"/>
      <x:c r="G24" s="36" t="str">
        <x:f>IF(OR(E24="",F24="",I24="Either date"),"",IF(F24&lt;E24,"Review",F24-E24+1))</x:f>
      </x:c>
      <x:c r="H24" s="37" t="str">
        <x:v>R1</x:v>
      </x:c>
      <x:c r="I24" s="37" t="str">
        <x:v>Window</x:v>
      </x:c>
      <x:c r="J24" s="35" t="str">
        <x:f>IF(OR($E24="",$F24=""),"",IF($I24="Either date",IF(OR(AND(J$15&lt;=$E24,J$15+6&gt;=$E24),AND(J$15&lt;=$F24,J$15+6&gt;=$F24)),3,""),IF(AND(J$15&lt;=$F24,J$15+6&gt;=$E24),IF($I24="Milestone",IF(AND(OR($D24="Complete",$D24="Submitted"),$F24&gt;Sources!$C$5),"T",2),IF(AND(OR($D24="Complete",$D24="Submitted"),J$15&gt;Sources!$C$5),4,1)),"")))</x:f>
      </x:c>
      <x:c r="K24" s="35" t="str">
        <x:f>IF(OR($E24="",$F24=""),"",IF($I24="Either date",IF(OR(AND(K$15&lt;=$E24,K$15+6&gt;=$E24),AND(K$15&lt;=$F24,K$15+6&gt;=$F24)),3,""),IF(AND(K$15&lt;=$F24,K$15+6&gt;=$E24),IF($I24="Milestone",IF(AND(OR($D24="Complete",$D24="Submitted"),$F24&gt;Sources!$C$5),"T",2),IF(AND(OR($D24="Complete",$D24="Submitted"),K$15&gt;Sources!$C$5),4,1)),"")))</x:f>
      </x:c>
      <x:c r="L24" s="35" t="str">
        <x:f>IF(OR($E24="",$F24=""),"",IF($I24="Either date",IF(OR(AND(L$15&lt;=$E24,L$15+6&gt;=$E24),AND(L$15&lt;=$F24,L$15+6&gt;=$F24)),3,""),IF(AND(L$15&lt;=$F24,L$15+6&gt;=$E24),IF($I24="Milestone",IF(AND(OR($D24="Complete",$D24="Submitted"),$F24&gt;Sources!$C$5),"T",2),IF(AND(OR($D24="Complete",$D24="Submitted"),L$15&gt;Sources!$C$5),4,1)),"")))</x:f>
      </x:c>
      <x:c r="M24" s="35" t="str">
        <x:f>IF(OR($E24="",$F24=""),"",IF($I24="Either date",IF(OR(AND(M$15&lt;=$E24,M$15+6&gt;=$E24),AND(M$15&lt;=$F24,M$15+6&gt;=$F24)),3,""),IF(AND(M$15&lt;=$F24,M$15+6&gt;=$E24),IF($I24="Milestone",IF(AND(OR($D24="Complete",$D24="Submitted"),$F24&gt;Sources!$C$5),"T",2),IF(AND(OR($D24="Complete",$D24="Submitted"),M$15&gt;Sources!$C$5),4,1)),"")))</x:f>
      </x:c>
      <x:c r="N24" s="35" t="str">
        <x:f>IF(OR($E24="",$F24=""),"",IF($I24="Either date",IF(OR(AND(N$15&lt;=$E24,N$15+6&gt;=$E24),AND(N$15&lt;=$F24,N$15+6&gt;=$F24)),3,""),IF(AND(N$15&lt;=$F24,N$15+6&gt;=$E24),IF($I24="Milestone",IF(AND(OR($D24="Complete",$D24="Submitted"),$F24&gt;Sources!$C$5),"T",2),IF(AND(OR($D24="Complete",$D24="Submitted"),N$15&gt;Sources!$C$5),4,1)),"")))</x:f>
      </x:c>
      <x:c r="O24" s="35" t="str">
        <x:f>IF(OR($E24="",$F24=""),"",IF($I24="Either date",IF(OR(AND(O$15&lt;=$E24,O$15+6&gt;=$E24),AND(O$15&lt;=$F24,O$15+6&gt;=$F24)),3,""),IF(AND(O$15&lt;=$F24,O$15+6&gt;=$E24),IF($I24="Milestone",IF(AND(OR($D24="Complete",$D24="Submitted"),$F24&gt;Sources!$C$5),"T",2),IF(AND(OR($D24="Complete",$D24="Submitted"),O$15&gt;Sources!$C$5),4,1)),"")))</x:f>
      </x:c>
      <x:c r="P24" s="35" t="str">
        <x:f>IF(OR($E24="",$F24=""),"",IF($I24="Either date",IF(OR(AND(P$15&lt;=$E24,P$15+6&gt;=$E24),AND(P$15&lt;=$F24,P$15+6&gt;=$F24)),3,""),IF(AND(P$15&lt;=$F24,P$15+6&gt;=$E24),IF($I24="Milestone",IF(AND(OR($D24="Complete",$D24="Submitted"),$F24&gt;Sources!$C$5),"T",2),IF(AND(OR($D24="Complete",$D24="Submitted"),P$15&gt;Sources!$C$5),4,1)),"")))</x:f>
      </x:c>
      <x:c r="Q24" s="35" t="str">
        <x:f>IF(OR($E24="",$F24=""),"",IF($I24="Either date",IF(OR(AND(Q$15&lt;=$E24,Q$15+6&gt;=$E24),AND(Q$15&lt;=$F24,Q$15+6&gt;=$F24)),3,""),IF(AND(Q$15&lt;=$F24,Q$15+6&gt;=$E24),IF($I24="Milestone",IF(AND(OR($D24="Complete",$D24="Submitted"),$F24&gt;Sources!$C$5),"T",2),IF(AND(OR($D24="Complete",$D24="Submitted"),Q$15&gt;Sources!$C$5),4,1)),"")))</x:f>
      </x:c>
      <x:c r="R24" s="35" t="str">
        <x:f>IF(OR($E24="",$F24=""),"",IF($I24="Either date",IF(OR(AND(R$15&lt;=$E24,R$15+6&gt;=$E24),AND(R$15&lt;=$F24,R$15+6&gt;=$F24)),3,""),IF(AND(R$15&lt;=$F24,R$15+6&gt;=$E24),IF($I24="Milestone",IF(AND(OR($D24="Complete",$D24="Submitted"),$F24&gt;Sources!$C$5),"T",2),IF(AND(OR($D24="Complete",$D24="Submitted"),R$15&gt;Sources!$C$5),4,1)),"")))</x:f>
      </x:c>
      <x:c r="S24" s="35" t="str">
        <x:f>IF(OR($E24="",$F24=""),"",IF($I24="Either date",IF(OR(AND(S$15&lt;=$E24,S$15+6&gt;=$E24),AND(S$15&lt;=$F24,S$15+6&gt;=$F24)),3,""),IF(AND(S$15&lt;=$F24,S$15+6&gt;=$E24),IF($I24="Milestone",IF(AND(OR($D24="Complete",$D24="Submitted"),$F24&gt;Sources!$C$5),"T",2),IF(AND(OR($D24="Complete",$D24="Submitted"),S$15&gt;Sources!$C$5),4,1)),"")))</x:f>
      </x:c>
      <x:c r="T24" s="35" t="str">
        <x:f>IF(OR($E24="",$F24=""),"",IF($I24="Either date",IF(OR(AND(T$15&lt;=$E24,T$15+6&gt;=$E24),AND(T$15&lt;=$F24,T$15+6&gt;=$F24)),3,""),IF(AND(T$15&lt;=$F24,T$15+6&gt;=$E24),IF($I24="Milestone",IF(AND(OR($D24="Complete",$D24="Submitted"),$F24&gt;Sources!$C$5),"T",2),IF(AND(OR($D24="Complete",$D24="Submitted"),T$15&gt;Sources!$C$5),4,1)),"")))</x:f>
      </x:c>
      <x:c r="U24" s="2"/>
      <x:c r="V24" s="2" t="str">
        <x:v>The group resubmitted the complete document.</x:v>
      </x:c>
      <x:c r="W24" s="18" t="str">
        <x:v>All FS / TS</x:v>
      </x:c>
      <x:c r="X24" s="18" t="str">
        <x:v>Week 9 update</x:v>
      </x:c>
    </x:row>
    <x:row r="25" ht="38" customHeight="1">
      <x:c r="A25" s="2" t="str">
        <x:v>R9</x:v>
      </x:c>
      <x:c r="B25" s="18" t="str">
        <x:v>Revise verification and validation plan</x:v>
      </x:c>
      <x:c r="C25" s="18" t="str">
        <x:v>Joe</x:v>
      </x:c>
      <x:c r="D25" s="2" t="str">
        <x:v>In progress</x:v>
      </x:c>
      <x:c r="E25" s="15"/>
      <x:c r="F25" s="15"/>
      <x:c r="G25" s="2" t="str">
        <x:f>IF(OR(E25="",F25="",I25="Either date"),"",IF(F25&lt;E25,"Review",F25-E25+1))</x:f>
      </x:c>
      <x:c r="H25" s="18" t="str">
        <x:v>R5</x:v>
      </x:c>
      <x:c r="I25" s="18" t="str">
        <x:v>Window</x:v>
      </x:c>
      <x:c r="J25" s="35" t="str">
        <x:f>IF(OR($E25="",$F25=""),"",IF($I25="Either date",IF(OR(AND(J$15&lt;=$E25,J$15+6&gt;=$E25),AND(J$15&lt;=$F25,J$15+6&gt;=$F25)),3,""),IF(AND(J$15&lt;=$F25,J$15+6&gt;=$E25),IF($I25="Milestone",IF(AND(OR($D25="Complete",$D25="Submitted"),$F25&gt;Sources!$C$5),"T",2),IF(AND(OR($D25="Complete",$D25="Submitted"),J$15&gt;Sources!$C$5),4,1)),"")))</x:f>
      </x:c>
      <x:c r="K25" s="35" t="str">
        <x:f>IF(OR($E25="",$F25=""),"",IF($I25="Either date",IF(OR(AND(K$15&lt;=$E25,K$15+6&gt;=$E25),AND(K$15&lt;=$F25,K$15+6&gt;=$F25)),3,""),IF(AND(K$15&lt;=$F25,K$15+6&gt;=$E25),IF($I25="Milestone",IF(AND(OR($D25="Complete",$D25="Submitted"),$F25&gt;Sources!$C$5),"T",2),IF(AND(OR($D25="Complete",$D25="Submitted"),K$15&gt;Sources!$C$5),4,1)),"")))</x:f>
      </x:c>
      <x:c r="L25" s="35" t="str">
        <x:f>IF(OR($E25="",$F25=""),"",IF($I25="Either date",IF(OR(AND(L$15&lt;=$E25,L$15+6&gt;=$E25),AND(L$15&lt;=$F25,L$15+6&gt;=$F25)),3,""),IF(AND(L$15&lt;=$F25,L$15+6&gt;=$E25),IF($I25="Milestone",IF(AND(OR($D25="Complete",$D25="Submitted"),$F25&gt;Sources!$C$5),"T",2),IF(AND(OR($D25="Complete",$D25="Submitted"),L$15&gt;Sources!$C$5),4,1)),"")))</x:f>
      </x:c>
      <x:c r="M25" s="35" t="str">
        <x:f>IF(OR($E25="",$F25=""),"",IF($I25="Either date",IF(OR(AND(M$15&lt;=$E25,M$15+6&gt;=$E25),AND(M$15&lt;=$F25,M$15+6&gt;=$F25)),3,""),IF(AND(M$15&lt;=$F25,M$15+6&gt;=$E25),IF($I25="Milestone",IF(AND(OR($D25="Complete",$D25="Submitted"),$F25&gt;Sources!$C$5),"T",2),IF(AND(OR($D25="Complete",$D25="Submitted"),M$15&gt;Sources!$C$5),4,1)),"")))</x:f>
      </x:c>
      <x:c r="N25" s="35" t="str">
        <x:f>IF(OR($E25="",$F25=""),"",IF($I25="Either date",IF(OR(AND(N$15&lt;=$E25,N$15+6&gt;=$E25),AND(N$15&lt;=$F25,N$15+6&gt;=$F25)),3,""),IF(AND(N$15&lt;=$F25,N$15+6&gt;=$E25),IF($I25="Milestone",IF(AND(OR($D25="Complete",$D25="Submitted"),$F25&gt;Sources!$C$5),"T",2),IF(AND(OR($D25="Complete",$D25="Submitted"),N$15&gt;Sources!$C$5),4,1)),"")))</x:f>
      </x:c>
      <x:c r="O25" s="35" t="str">
        <x:f>IF(OR($E25="",$F25=""),"",IF($I25="Either date",IF(OR(AND(O$15&lt;=$E25,O$15+6&gt;=$E25),AND(O$15&lt;=$F25,O$15+6&gt;=$F25)),3,""),IF(AND(O$15&lt;=$F25,O$15+6&gt;=$E25),IF($I25="Milestone",IF(AND(OR($D25="Complete",$D25="Submitted"),$F25&gt;Sources!$C$5),"T",2),IF(AND(OR($D25="Complete",$D25="Submitted"),O$15&gt;Sources!$C$5),4,1)),"")))</x:f>
      </x:c>
      <x:c r="P25" s="35" t="str">
        <x:f>IF(OR($E25="",$F25=""),"",IF($I25="Either date",IF(OR(AND(P$15&lt;=$E25,P$15+6&gt;=$E25),AND(P$15&lt;=$F25,P$15+6&gt;=$F25)),3,""),IF(AND(P$15&lt;=$F25,P$15+6&gt;=$E25),IF($I25="Milestone",IF(AND(OR($D25="Complete",$D25="Submitted"),$F25&gt;Sources!$C$5),"T",2),IF(AND(OR($D25="Complete",$D25="Submitted"),P$15&gt;Sources!$C$5),4,1)),"")))</x:f>
      </x:c>
      <x:c r="Q25" s="35" t="str">
        <x:f>IF(OR($E25="",$F25=""),"",IF($I25="Either date",IF(OR(AND(Q$15&lt;=$E25,Q$15+6&gt;=$E25),AND(Q$15&lt;=$F25,Q$15+6&gt;=$F25)),3,""),IF(AND(Q$15&lt;=$F25,Q$15+6&gt;=$E25),IF($I25="Milestone",IF(AND(OR($D25="Complete",$D25="Submitted"),$F25&gt;Sources!$C$5),"T",2),IF(AND(OR($D25="Complete",$D25="Submitted"),Q$15&gt;Sources!$C$5),4,1)),"")))</x:f>
      </x:c>
      <x:c r="R25" s="35" t="str">
        <x:f>IF(OR($E25="",$F25=""),"",IF($I25="Either date",IF(OR(AND(R$15&lt;=$E25,R$15+6&gt;=$E25),AND(R$15&lt;=$F25,R$15+6&gt;=$F25)),3,""),IF(AND(R$15&lt;=$F25,R$15+6&gt;=$E25),IF($I25="Milestone",IF(AND(OR($D25="Complete",$D25="Submitted"),$F25&gt;Sources!$C$5),"T",2),IF(AND(OR($D25="Complete",$D25="Submitted"),R$15&gt;Sources!$C$5),4,1)),"")))</x:f>
      </x:c>
      <x:c r="S25" s="35" t="str">
        <x:f>IF(OR($E25="",$F25=""),"",IF($I25="Either date",IF(OR(AND(S$15&lt;=$E25,S$15+6&gt;=$E25),AND(S$15&lt;=$F25,S$15+6&gt;=$F25)),3,""),IF(AND(S$15&lt;=$F25,S$15+6&gt;=$E25),IF($I25="Milestone",IF(AND(OR($D25="Complete",$D25="Submitted"),$F25&gt;Sources!$C$5),"T",2),IF(AND(OR($D25="Complete",$D25="Submitted"),S$15&gt;Sources!$C$5),4,1)),"")))</x:f>
      </x:c>
      <x:c r="T25" s="35" t="str">
        <x:f>IF(OR($E25="",$F25=""),"",IF($I25="Either date",IF(OR(AND(T$15&lt;=$E25,T$15+6&gt;=$E25),AND(T$15&lt;=$F25,T$15+6&gt;=$F25)),3,""),IF(AND(T$15&lt;=$F25,T$15+6&gt;=$E25),IF($I25="Milestone",IF(AND(OR($D25="Complete",$D25="Submitted"),$F25&gt;Sources!$C$5),"T",2),IF(AND(OR($D25="Complete",$D25="Submitted"),T$15&gt;Sources!$C$5),4,1)),"")))</x:f>
      </x:c>
      <x:c r="U25" s="2"/>
      <x:c r="V25" s="2" t="str">
        <x:v>Revision continues. Set a target and settle laboratory protocols before collecting data.</x:v>
      </x:c>
      <x:c r="W25" s="18" t="str">
        <x:v>All linked TS</x:v>
      </x:c>
      <x:c r="X25" s="18" t="str">
        <x:v>Week 9 update</x:v>
      </x:c>
    </x:row>
    <x:row r="26" ht="24" customHeight="1">
      <x:c r="A26" s="33" t="str">
        <x:v>Prototypes 1 to 3</x:v>
      </x:c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2"/>
      <x:c r="V26" s="2"/>
      <x:c r="W26" s="18"/>
      <x:c r="X26" s="18"/>
    </x:row>
    <x:row r="27" ht="38" customHeight="1">
      <x:c r="A27" s="36" t="str">
        <x:v>PR1</x:v>
      </x:c>
      <x:c r="B27" s="37" t="str">
        <x:v>Check approach and refill using the placement drawings</x:v>
      </x:c>
      <x:c r="C27" s="37" t="str">
        <x:v>Joe and Ayan; all four</x:v>
      </x:c>
      <x:c r="D27" s="36" t="str">
        <x:v>Complete</x:v>
      </x:c>
      <x:c r="E27" s="38" t="d">
        <x:v>2026-10-12T00:00:00.000Z</x:v>
      </x:c>
      <x:c r="F27" s="38" t="n">
        <x:f>'Sources'!$C$6</x:f>
        <x:v>46321</x:v>
      </x:c>
      <x:c r="G27" s="36" t="n">
        <x:f>IF(OR(E27="",F27="",I27="Either date"),"",IF(F27&lt;E27,"Review",F27-E27+1))</x:f>
        <x:v>15</x:v>
      </x:c>
      <x:c r="H27" s="37" t="str">
        <x:v>R3</x:v>
      </x:c>
      <x:c r="I27" s="37" t="str">
        <x:v>Window</x:v>
      </x:c>
      <x:c r="J27" s="35" t="str">
        <x:f>IF(OR($E27="",$F27=""),"",IF($I27="Either date",IF(OR(AND(J$15&lt;=$E27,J$15+6&gt;=$E27),AND(J$15&lt;=$F27,J$15+6&gt;=$F27)),3,""),IF(AND(J$15&lt;=$F27,J$15+6&gt;=$E27),IF($I27="Milestone",IF(AND(OR($D27="Complete",$D27="Submitted"),$F27&gt;Sources!$C$5),"T",2),IF(AND(OR($D27="Complete",$D27="Submitted"),J$15&gt;Sources!$C$5),4,1)),"")))</x:f>
      </x:c>
      <x:c r="K27" s="35" t="str">
        <x:f>IF(OR($E27="",$F27=""),"",IF($I27="Either date",IF(OR(AND(K$15&lt;=$E27,K$15+6&gt;=$E27),AND(K$15&lt;=$F27,K$15+6&gt;=$F27)),3,""),IF(AND(K$15&lt;=$F27,K$15+6&gt;=$E27),IF($I27="Milestone",IF(AND(OR($D27="Complete",$D27="Submitted"),$F27&gt;Sources!$C$5),"T",2),IF(AND(OR($D27="Complete",$D27="Submitted"),K$15&gt;Sources!$C$5),4,1)),"")))</x:f>
      </x:c>
      <x:c r="L27" s="35" t="n">
        <x:f>IF(OR($E27="",$F27=""),"",IF($I27="Either date",IF(OR(AND(L$15&lt;=$E27,L$15+6&gt;=$E27),AND(L$15&lt;=$F27,L$15+6&gt;=$F27)),3,""),IF(AND(L$15&lt;=$F27,L$15+6&gt;=$E27),IF($I27="Milestone",IF(AND(OR($D27="Complete",$D27="Submitted"),$F27&gt;Sources!$C$5),"T",2),IF(AND(OR($D27="Complete",$D27="Submitted"),L$15&gt;Sources!$C$5),4,1)),"")))</x:f>
        <x:v>1</x:v>
      </x:c>
      <x:c r="M27" s="35" t="n">
        <x:f>IF(OR($E27="",$F27=""),"",IF($I27="Either date",IF(OR(AND(M$15&lt;=$E27,M$15+6&gt;=$E27),AND(M$15&lt;=$F27,M$15+6&gt;=$F27)),3,""),IF(AND(M$15&lt;=$F27,M$15+6&gt;=$E27),IF($I27="Milestone",IF(AND(OR($D27="Complete",$D27="Submitted"),$F27&gt;Sources!$C$5),"T",2),IF(AND(OR($D27="Complete",$D27="Submitted"),M$15&gt;Sources!$C$5),4,1)),"")))</x:f>
        <x:v>1</x:v>
      </x:c>
      <x:c r="N27" s="35" t="n">
        <x:f>IF(OR($E27="",$F27=""),"",IF($I27="Either date",IF(OR(AND(N$15&lt;=$E27,N$15+6&gt;=$E27),AND(N$15&lt;=$F27,N$15+6&gt;=$F27)),3,""),IF(AND(N$15&lt;=$F27,N$15+6&gt;=$E27),IF($I27="Milestone",IF(AND(OR($D27="Complete",$D27="Submitted"),$F27&gt;Sources!$C$5),"T",2),IF(AND(OR($D27="Complete",$D27="Submitted"),N$15&gt;Sources!$C$5),4,1)),"")))</x:f>
        <x:v>4</x:v>
      </x:c>
      <x:c r="O27" s="35" t="str">
        <x:f>IF(OR($E27="",$F27=""),"",IF($I27="Either date",IF(OR(AND(O$15&lt;=$E27,O$15+6&gt;=$E27),AND(O$15&lt;=$F27,O$15+6&gt;=$F27)),3,""),IF(AND(O$15&lt;=$F27,O$15+6&gt;=$E27),IF($I27="Milestone",IF(AND(OR($D27="Complete",$D27="Submitted"),$F27&gt;Sources!$C$5),"T",2),IF(AND(OR($D27="Complete",$D27="Submitted"),O$15&gt;Sources!$C$5),4,1)),"")))</x:f>
      </x:c>
      <x:c r="P27" s="35" t="str">
        <x:f>IF(OR($E27="",$F27=""),"",IF($I27="Either date",IF(OR(AND(P$15&lt;=$E27,P$15+6&gt;=$E27),AND(P$15&lt;=$F27,P$15+6&gt;=$F27)),3,""),IF(AND(P$15&lt;=$F27,P$15+6&gt;=$E27),IF($I27="Milestone",IF(AND(OR($D27="Complete",$D27="Submitted"),$F27&gt;Sources!$C$5),"T",2),IF(AND(OR($D27="Complete",$D27="Submitted"),P$15&gt;Sources!$C$5),4,1)),"")))</x:f>
      </x:c>
      <x:c r="Q27" s="35" t="str">
        <x:f>IF(OR($E27="",$F27=""),"",IF($I27="Either date",IF(OR(AND(Q$15&lt;=$E27,Q$15+6&gt;=$E27),AND(Q$15&lt;=$F27,Q$15+6&gt;=$F27)),3,""),IF(AND(Q$15&lt;=$F27,Q$15+6&gt;=$E27),IF($I27="Milestone",IF(AND(OR($D27="Complete",$D27="Submitted"),$F27&gt;Sources!$C$5),"T",2),IF(AND(OR($D27="Complete",$D27="Submitted"),Q$15&gt;Sources!$C$5),4,1)),"")))</x:f>
      </x:c>
      <x:c r="R27" s="35" t="str">
        <x:f>IF(OR($E27="",$F27=""),"",IF($I27="Either date",IF(OR(AND(R$15&lt;=$E27,R$15+6&gt;=$E27),AND(R$15&lt;=$F27,R$15+6&gt;=$F27)),3,""),IF(AND(R$15&lt;=$F27,R$15+6&gt;=$E27),IF($I27="Milestone",IF(AND(OR($D27="Complete",$D27="Submitted"),$F27&gt;Sources!$C$5),"T",2),IF(AND(OR($D27="Complete",$D27="Submitted"),R$15&gt;Sources!$C$5),4,1)),"")))</x:f>
      </x:c>
      <x:c r="S27" s="35" t="str">
        <x:f>IF(OR($E27="",$F27=""),"",IF($I27="Either date",IF(OR(AND(S$15&lt;=$E27,S$15+6&gt;=$E27),AND(S$15&lt;=$F27,S$15+6&gt;=$F27)),3,""),IF(AND(S$15&lt;=$F27,S$15+6&gt;=$E27),IF($I27="Milestone",IF(AND(OR($D27="Complete",$D27="Submitted"),$F27&gt;Sources!$C$5),"T",2),IF(AND(OR($D27="Complete",$D27="Submitted"),S$15&gt;Sources!$C$5),4,1)),"")))</x:f>
      </x:c>
      <x:c r="T27" s="35" t="str">
        <x:f>IF(OR($E27="",$F27=""),"",IF($I27="Either date",IF(OR(AND(T$15&lt;=$E27,T$15+6&gt;=$E27),AND(T$15&lt;=$F27,T$15+6&gt;=$F27)),3,""),IF(AND(T$15&lt;=$F27,T$15+6&gt;=$E27),IF($I27="Milestone",IF(AND(OR($D27="Complete",$D27="Submitted"),$F27&gt;Sources!$C$5),"T",2),IF(AND(OR($D27="Complete",$D27="Submitted"),T$15&gt;Sources!$C$5),4,1)),"")))</x:f>
      </x:c>
      <x:c r="U27" s="2"/>
      <x:c r="V27" s="2" t="str">
        <x:v>The walk-through confirmed the disable, refill and restore sequence.</x:v>
      </x:c>
      <x:c r="W27" s="18" t="str">
        <x:v>FS.04–FS.08</x:v>
      </x:c>
      <x:c r="X27" s="18" t="str">
        <x:v>Week 8 and Week 9</x:v>
      </x:c>
    </x:row>
    <x:row r="28" ht="38" customHeight="1">
      <x:c r="A28" s="2" t="str">
        <x:v>PR2</x:v>
      </x:c>
      <x:c r="B28" s="18" t="str">
        <x:v>Fit the cardboard mockup and check the camera view</x:v>
      </x:c>
      <x:c r="C28" s="18" t="str">
        <x:v>Daniel; all four</x:v>
      </x:c>
      <x:c r="D28" s="2" t="str">
        <x:v>Complete</x:v>
      </x:c>
      <x:c r="E28" s="15" t="d">
        <x:v>2026-10-14T00:00:00.000Z</x:v>
      </x:c>
      <x:c r="F28" s="15" t="n">
        <x:f>'Sources'!$C$6</x:f>
        <x:v>46321</x:v>
      </x:c>
      <x:c r="G28" s="2" t="n">
        <x:f>IF(OR(E28="",F28="",I28="Either date"),"",IF(F28&lt;E28,"Review",F28-E28+1))</x:f>
        <x:v>13</x:v>
      </x:c>
      <x:c r="H28" s="18" t="str">
        <x:v>PR1 layout</x:v>
      </x:c>
      <x:c r="I28" s="18" t="str">
        <x:v>Window</x:v>
      </x:c>
      <x:c r="J28" s="35" t="str">
        <x:f>IF(OR($E28="",$F28=""),"",IF($I28="Either date",IF(OR(AND(J$15&lt;=$E28,J$15+6&gt;=$E28),AND(J$15&lt;=$F28,J$15+6&gt;=$F28)),3,""),IF(AND(J$15&lt;=$F28,J$15+6&gt;=$E28),IF($I28="Milestone",IF(AND(OR($D28="Complete",$D28="Submitted"),$F28&gt;Sources!$C$5),"T",2),IF(AND(OR($D28="Complete",$D28="Submitted"),J$15&gt;Sources!$C$5),4,1)),"")))</x:f>
      </x:c>
      <x:c r="K28" s="35" t="str">
        <x:f>IF(OR($E28="",$F28=""),"",IF($I28="Either date",IF(OR(AND(K$15&lt;=$E28,K$15+6&gt;=$E28),AND(K$15&lt;=$F28,K$15+6&gt;=$F28)),3,""),IF(AND(K$15&lt;=$F28,K$15+6&gt;=$E28),IF($I28="Milestone",IF(AND(OR($D28="Complete",$D28="Submitted"),$F28&gt;Sources!$C$5),"T",2),IF(AND(OR($D28="Complete",$D28="Submitted"),K$15&gt;Sources!$C$5),4,1)),"")))</x:f>
      </x:c>
      <x:c r="L28" s="35" t="n">
        <x:f>IF(OR($E28="",$F28=""),"",IF($I28="Either date",IF(OR(AND(L$15&lt;=$E28,L$15+6&gt;=$E28),AND(L$15&lt;=$F28,L$15+6&gt;=$F28)),3,""),IF(AND(L$15&lt;=$F28,L$15+6&gt;=$E28),IF($I28="Milestone",IF(AND(OR($D28="Complete",$D28="Submitted"),$F28&gt;Sources!$C$5),"T",2),IF(AND(OR($D28="Complete",$D28="Submitted"),L$15&gt;Sources!$C$5),4,1)),"")))</x:f>
        <x:v>1</x:v>
      </x:c>
      <x:c r="M28" s="35" t="n">
        <x:f>IF(OR($E28="",$F28=""),"",IF($I28="Either date",IF(OR(AND(M$15&lt;=$E28,M$15+6&gt;=$E28),AND(M$15&lt;=$F28,M$15+6&gt;=$F28)),3,""),IF(AND(M$15&lt;=$F28,M$15+6&gt;=$E28),IF($I28="Milestone",IF(AND(OR($D28="Complete",$D28="Submitted"),$F28&gt;Sources!$C$5),"T",2),IF(AND(OR($D28="Complete",$D28="Submitted"),M$15&gt;Sources!$C$5),4,1)),"")))</x:f>
        <x:v>1</x:v>
      </x:c>
      <x:c r="N28" s="35" t="n">
        <x:f>IF(OR($E28="",$F28=""),"",IF($I28="Either date",IF(OR(AND(N$15&lt;=$E28,N$15+6&gt;=$E28),AND(N$15&lt;=$F28,N$15+6&gt;=$F28)),3,""),IF(AND(N$15&lt;=$F28,N$15+6&gt;=$E28),IF($I28="Milestone",IF(AND(OR($D28="Complete",$D28="Submitted"),$F28&gt;Sources!$C$5),"T",2),IF(AND(OR($D28="Complete",$D28="Submitted"),N$15&gt;Sources!$C$5),4,1)),"")))</x:f>
        <x:v>4</x:v>
      </x:c>
      <x:c r="O28" s="35" t="str">
        <x:f>IF(OR($E28="",$F28=""),"",IF($I28="Either date",IF(OR(AND(O$15&lt;=$E28,O$15+6&gt;=$E28),AND(O$15&lt;=$F28,O$15+6&gt;=$F28)),3,""),IF(AND(O$15&lt;=$F28,O$15+6&gt;=$E28),IF($I28="Milestone",IF(AND(OR($D28="Complete",$D28="Submitted"),$F28&gt;Sources!$C$5),"T",2),IF(AND(OR($D28="Complete",$D28="Submitted"),O$15&gt;Sources!$C$5),4,1)),"")))</x:f>
      </x:c>
      <x:c r="P28" s="35" t="str">
        <x:f>IF(OR($E28="",$F28=""),"",IF($I28="Either date",IF(OR(AND(P$15&lt;=$E28,P$15+6&gt;=$E28),AND(P$15&lt;=$F28,P$15+6&gt;=$F28)),3,""),IF(AND(P$15&lt;=$F28,P$15+6&gt;=$E28),IF($I28="Milestone",IF(AND(OR($D28="Complete",$D28="Submitted"),$F28&gt;Sources!$C$5),"T",2),IF(AND(OR($D28="Complete",$D28="Submitted"),P$15&gt;Sources!$C$5),4,1)),"")))</x:f>
      </x:c>
      <x:c r="Q28" s="35" t="str">
        <x:f>IF(OR($E28="",$F28=""),"",IF($I28="Either date",IF(OR(AND(Q$15&lt;=$E28,Q$15+6&gt;=$E28),AND(Q$15&lt;=$F28,Q$15+6&gt;=$F28)),3,""),IF(AND(Q$15&lt;=$F28,Q$15+6&gt;=$E28),IF($I28="Milestone",IF(AND(OR($D28="Complete",$D28="Submitted"),$F28&gt;Sources!$C$5),"T",2),IF(AND(OR($D28="Complete",$D28="Submitted"),Q$15&gt;Sources!$C$5),4,1)),"")))</x:f>
      </x:c>
      <x:c r="R28" s="35" t="str">
        <x:f>IF(OR($E28="",$F28=""),"",IF($I28="Either date",IF(OR(AND(R$15&lt;=$E28,R$15+6&gt;=$E28),AND(R$15&lt;=$F28,R$15+6&gt;=$F28)),3,""),IF(AND(R$15&lt;=$F28,R$15+6&gt;=$E28),IF($I28="Milestone",IF(AND(OR($D28="Complete",$D28="Submitted"),$F28&gt;Sources!$C$5),"T",2),IF(AND(OR($D28="Complete",$D28="Submitted"),R$15&gt;Sources!$C$5),4,1)),"")))</x:f>
      </x:c>
      <x:c r="S28" s="35" t="str">
        <x:f>IF(OR($E28="",$F28=""),"",IF($I28="Either date",IF(OR(AND(S$15&lt;=$E28,S$15+6&gt;=$E28),AND(S$15&lt;=$F28,S$15+6&gt;=$F28)),3,""),IF(AND(S$15&lt;=$F28,S$15+6&gt;=$E28),IF($I28="Milestone",IF(AND(OR($D28="Complete",$D28="Submitted"),$F28&gt;Sources!$C$5),"T",2),IF(AND(OR($D28="Complete",$D28="Submitted"),S$15&gt;Sources!$C$5),4,1)),"")))</x:f>
      </x:c>
      <x:c r="T28" s="35" t="str">
        <x:f>IF(OR($E28="",$F28=""),"",IF($I28="Either date",IF(OR(AND(T$15&lt;=$E28,T$15+6&gt;=$E28),AND(T$15&lt;=$F28,T$15+6&gt;=$F28)),3,""),IF(AND(T$15&lt;=$F28,T$15+6&gt;=$E28),IF($I28="Milestone",IF(AND(OR($D28="Complete",$D28="Submitted"),$F28&gt;Sources!$C$5),"T",2),IF(AND(OR($D28="Complete",$D28="Submitted"),T$15&gt;Sources!$C$5),4,1)),"")))</x:f>
      </x:c>
      <x:c r="U28" s="2"/>
      <x:c r="V28" s="2" t="str">
        <x:v>Parts fit and the camera view was adequate. The proposed layout, opening and post position were retained.</x:v>
      </x:c>
      <x:c r="W28" s="18" t="str">
        <x:v>FS.01, FS.04–FS.08</x:v>
      </x:c>
      <x:c r="X28" s="18" t="str">
        <x:v>Week 9 update</x:v>
      </x:c>
    </x:row>
    <x:row r="29" ht="38" customHeight="1">
      <x:c r="A29" s="36" t="str">
        <x:v>PR3</x:v>
      </x:c>
      <x:c r="B29" s="37" t="str">
        <x:v>Use camera recognition to control the light and buzzer</x:v>
      </x:c>
      <x:c r="C29" s="37" t="str">
        <x:v>Emmett; all four</x:v>
      </x:c>
      <x:c r="D29" s="36" t="str">
        <x:v>Complete</x:v>
      </x:c>
      <x:c r="E29" s="38" t="d">
        <x:v>2026-10-14T00:00:00.000Z</x:v>
      </x:c>
      <x:c r="F29" s="38" t="n">
        <x:f>'Sources'!$C$6</x:f>
        <x:v>46321</x:v>
      </x:c>
      <x:c r="G29" s="36" t="n">
        <x:f>IF(OR(E29="",F29="",I29="Either date"),"",IF(F29&lt;E29,"Review",F29-E29+1))</x:f>
        <x:v>13</x:v>
      </x:c>
      <x:c r="H29" s="37" t="str">
        <x:v>PR1 layout; PR2 fit</x:v>
      </x:c>
      <x:c r="I29" s="37" t="str">
        <x:v>Window</x:v>
      </x:c>
      <x:c r="J29" s="35" t="str">
        <x:f>IF(OR($E29="",$F29=""),"",IF($I29="Either date",IF(OR(AND(J$15&lt;=$E29,J$15+6&gt;=$E29),AND(J$15&lt;=$F29,J$15+6&gt;=$F29)),3,""),IF(AND(J$15&lt;=$F29,J$15+6&gt;=$E29),IF($I29="Milestone",IF(AND(OR($D29="Complete",$D29="Submitted"),$F29&gt;Sources!$C$5),"T",2),IF(AND(OR($D29="Complete",$D29="Submitted"),J$15&gt;Sources!$C$5),4,1)),"")))</x:f>
      </x:c>
      <x:c r="K29" s="35" t="str">
        <x:f>IF(OR($E29="",$F29=""),"",IF($I29="Either date",IF(OR(AND(K$15&lt;=$E29,K$15+6&gt;=$E29),AND(K$15&lt;=$F29,K$15+6&gt;=$F29)),3,""),IF(AND(K$15&lt;=$F29,K$15+6&gt;=$E29),IF($I29="Milestone",IF(AND(OR($D29="Complete",$D29="Submitted"),$F29&gt;Sources!$C$5),"T",2),IF(AND(OR($D29="Complete",$D29="Submitted"),K$15&gt;Sources!$C$5),4,1)),"")))</x:f>
      </x:c>
      <x:c r="L29" s="35" t="n">
        <x:f>IF(OR($E29="",$F29=""),"",IF($I29="Either date",IF(OR(AND(L$15&lt;=$E29,L$15+6&gt;=$E29),AND(L$15&lt;=$F29,L$15+6&gt;=$F29)),3,""),IF(AND(L$15&lt;=$F29,L$15+6&gt;=$E29),IF($I29="Milestone",IF(AND(OR($D29="Complete",$D29="Submitted"),$F29&gt;Sources!$C$5),"T",2),IF(AND(OR($D29="Complete",$D29="Submitted"),L$15&gt;Sources!$C$5),4,1)),"")))</x:f>
        <x:v>1</x:v>
      </x:c>
      <x:c r="M29" s="35" t="n">
        <x:f>IF(OR($E29="",$F29=""),"",IF($I29="Either date",IF(OR(AND(M$15&lt;=$E29,M$15+6&gt;=$E29),AND(M$15&lt;=$F29,M$15+6&gt;=$F29)),3,""),IF(AND(M$15&lt;=$F29,M$15+6&gt;=$E29),IF($I29="Milestone",IF(AND(OR($D29="Complete",$D29="Submitted"),$F29&gt;Sources!$C$5),"T",2),IF(AND(OR($D29="Complete",$D29="Submitted"),M$15&gt;Sources!$C$5),4,1)),"")))</x:f>
        <x:v>1</x:v>
      </x:c>
      <x:c r="N29" s="35" t="n">
        <x:f>IF(OR($E29="",$F29=""),"",IF($I29="Either date",IF(OR(AND(N$15&lt;=$E29,N$15+6&gt;=$E29),AND(N$15&lt;=$F29,N$15+6&gt;=$F29)),3,""),IF(AND(N$15&lt;=$F29,N$15+6&gt;=$E29),IF($I29="Milestone",IF(AND(OR($D29="Complete",$D29="Submitted"),$F29&gt;Sources!$C$5),"T",2),IF(AND(OR($D29="Complete",$D29="Submitted"),N$15&gt;Sources!$C$5),4,1)),"")))</x:f>
        <x:v>4</x:v>
      </x:c>
      <x:c r="O29" s="35" t="str">
        <x:f>IF(OR($E29="",$F29=""),"",IF($I29="Either date",IF(OR(AND(O$15&lt;=$E29,O$15+6&gt;=$E29),AND(O$15&lt;=$F29,O$15+6&gt;=$F29)),3,""),IF(AND(O$15&lt;=$F29,O$15+6&gt;=$E29),IF($I29="Milestone",IF(AND(OR($D29="Complete",$D29="Submitted"),$F29&gt;Sources!$C$5),"T",2),IF(AND(OR($D29="Complete",$D29="Submitted"),O$15&gt;Sources!$C$5),4,1)),"")))</x:f>
      </x:c>
      <x:c r="P29" s="35" t="str">
        <x:f>IF(OR($E29="",$F29=""),"",IF($I29="Either date",IF(OR(AND(P$15&lt;=$E29,P$15+6&gt;=$E29),AND(P$15&lt;=$F29,P$15+6&gt;=$F29)),3,""),IF(AND(P$15&lt;=$F29,P$15+6&gt;=$E29),IF($I29="Milestone",IF(AND(OR($D29="Complete",$D29="Submitted"),$F29&gt;Sources!$C$5),"T",2),IF(AND(OR($D29="Complete",$D29="Submitted"),P$15&gt;Sources!$C$5),4,1)),"")))</x:f>
      </x:c>
      <x:c r="Q29" s="35" t="str">
        <x:f>IF(OR($E29="",$F29=""),"",IF($I29="Either date",IF(OR(AND(Q$15&lt;=$E29,Q$15+6&gt;=$E29),AND(Q$15&lt;=$F29,Q$15+6&gt;=$F29)),3,""),IF(AND(Q$15&lt;=$F29,Q$15+6&gt;=$E29),IF($I29="Milestone",IF(AND(OR($D29="Complete",$D29="Submitted"),$F29&gt;Sources!$C$5),"T",2),IF(AND(OR($D29="Complete",$D29="Submitted"),Q$15&gt;Sources!$C$5),4,1)),"")))</x:f>
      </x:c>
      <x:c r="R29" s="35" t="str">
        <x:f>IF(OR($E29="",$F29=""),"",IF($I29="Either date",IF(OR(AND(R$15&lt;=$E29,R$15+6&gt;=$E29),AND(R$15&lt;=$F29,R$15+6&gt;=$F29)),3,""),IF(AND(R$15&lt;=$F29,R$15+6&gt;=$E29),IF($I29="Milestone",IF(AND(OR($D29="Complete",$D29="Submitted"),$F29&gt;Sources!$C$5),"T",2),IF(AND(OR($D29="Complete",$D29="Submitted"),R$15&gt;Sources!$C$5),4,1)),"")))</x:f>
      </x:c>
      <x:c r="S29" s="35" t="str">
        <x:f>IF(OR($E29="",$F29=""),"",IF($I29="Either date",IF(OR(AND(S$15&lt;=$E29,S$15+6&gt;=$E29),AND(S$15&lt;=$F29,S$15+6&gt;=$F29)),3,""),IF(AND(S$15&lt;=$F29,S$15+6&gt;=$E29),IF($I29="Milestone",IF(AND(OR($D29="Complete",$D29="Submitted"),$F29&gt;Sources!$C$5),"T",2),IF(AND(OR($D29="Complete",$D29="Submitted"),S$15&gt;Sources!$C$5),4,1)),"")))</x:f>
      </x:c>
      <x:c r="T29" s="35" t="str">
        <x:f>IF(OR($E29="",$F29=""),"",IF($I29="Either date",IF(OR(AND(T$15&lt;=$E29,T$15+6&gt;=$E29),AND(T$15&lt;=$F29,T$15+6&gt;=$F29)),3,""),IF(AND(T$15&lt;=$F29,T$15+6&gt;=$E29),IF($I29="Milestone",IF(AND(OR($D29="Complete",$D29="Submitted"),$F29&gt;Sources!$C$5),"T",2),IF(AND(OR($D29="Complete",$D29="Submitted"),T$15&gt;Sources!$C$5),4,1)),"")))</x:f>
      </x:c>
      <x:c r="U29" s="2"/>
      <x:c r="V29" s="2" t="str">
        <x:v>Recognition developed on saved images while the camera was debugged, then camera images controlled both outputs. Accuracy and field performance remain unverified.</x:v>
      </x:c>
      <x:c r="W29" s="18" t="str">
        <x:v>FS.01–FS.02; C-DET / C-CTRL</x:v>
      </x:c>
      <x:c r="X29" s="18" t="str">
        <x:v>Week 9 update</x:v>
      </x:c>
    </x:row>
    <x:row r="30" ht="38" customHeight="1">
      <x:c r="A30" s="2" t="str">
        <x:v>PR4</x:v>
      </x:c>
      <x:c r="B30" s="18" t="str">
        <x:v>Assess rechargeable power</x:v>
      </x:c>
      <x:c r="C30" s="18" t="str">
        <x:v>All four</x:v>
      </x:c>
      <x:c r="D30" s="2" t="str">
        <x:v>In progress</x:v>
      </x:c>
      <x:c r="E30" s="15"/>
      <x:c r="F30" s="15"/>
      <x:c r="G30" s="2" t="str">
        <x:f>IF(OR(E30="",F30="",I30="Either date"),"",IF(F30&lt;E30,"Review",F30-E30+1))</x:f>
      </x:c>
      <x:c r="H30" s="18" t="str">
        <x:v>PR3</x:v>
      </x:c>
      <x:c r="I30" s="18" t="str">
        <x:v>Window</x:v>
      </x:c>
      <x:c r="J30" s="35" t="str">
        <x:f>IF(OR($E30="",$F30=""),"",IF($I30="Either date",IF(OR(AND(J$15&lt;=$E30,J$15+6&gt;=$E30),AND(J$15&lt;=$F30,J$15+6&gt;=$F30)),3,""),IF(AND(J$15&lt;=$F30,J$15+6&gt;=$E30),IF($I30="Milestone",IF(AND(OR($D30="Complete",$D30="Submitted"),$F30&gt;Sources!$C$5),"T",2),IF(AND(OR($D30="Complete",$D30="Submitted"),J$15&gt;Sources!$C$5),4,1)),"")))</x:f>
      </x:c>
      <x:c r="K30" s="35" t="str">
        <x:f>IF(OR($E30="",$F30=""),"",IF($I30="Either date",IF(OR(AND(K$15&lt;=$E30,K$15+6&gt;=$E30),AND(K$15&lt;=$F30,K$15+6&gt;=$F30)),3,""),IF(AND(K$15&lt;=$F30,K$15+6&gt;=$E30),IF($I30="Milestone",IF(AND(OR($D30="Complete",$D30="Submitted"),$F30&gt;Sources!$C$5),"T",2),IF(AND(OR($D30="Complete",$D30="Submitted"),K$15&gt;Sources!$C$5),4,1)),"")))</x:f>
      </x:c>
      <x:c r="L30" s="35" t="str">
        <x:f>IF(OR($E30="",$F30=""),"",IF($I30="Either date",IF(OR(AND(L$15&lt;=$E30,L$15+6&gt;=$E30),AND(L$15&lt;=$F30,L$15+6&gt;=$F30)),3,""),IF(AND(L$15&lt;=$F30,L$15+6&gt;=$E30),IF($I30="Milestone",IF(AND(OR($D30="Complete",$D30="Submitted"),$F30&gt;Sources!$C$5),"T",2),IF(AND(OR($D30="Complete",$D30="Submitted"),L$15&gt;Sources!$C$5),4,1)),"")))</x:f>
      </x:c>
      <x:c r="M30" s="35" t="str">
        <x:f>IF(OR($E30="",$F30=""),"",IF($I30="Either date",IF(OR(AND(M$15&lt;=$E30,M$15+6&gt;=$E30),AND(M$15&lt;=$F30,M$15+6&gt;=$F30)),3,""),IF(AND(M$15&lt;=$F30,M$15+6&gt;=$E30),IF($I30="Milestone",IF(AND(OR($D30="Complete",$D30="Submitted"),$F30&gt;Sources!$C$5),"T",2),IF(AND(OR($D30="Complete",$D30="Submitted"),M$15&gt;Sources!$C$5),4,1)),"")))</x:f>
      </x:c>
      <x:c r="N30" s="35" t="str">
        <x:f>IF(OR($E30="",$F30=""),"",IF($I30="Either date",IF(OR(AND(N$15&lt;=$E30,N$15+6&gt;=$E30),AND(N$15&lt;=$F30,N$15+6&gt;=$F30)),3,""),IF(AND(N$15&lt;=$F30,N$15+6&gt;=$E30),IF($I30="Milestone",IF(AND(OR($D30="Complete",$D30="Submitted"),$F30&gt;Sources!$C$5),"T",2),IF(AND(OR($D30="Complete",$D30="Submitted"),N$15&gt;Sources!$C$5),4,1)),"")))</x:f>
      </x:c>
      <x:c r="O30" s="35" t="str">
        <x:f>IF(OR($E30="",$F30=""),"",IF($I30="Either date",IF(OR(AND(O$15&lt;=$E30,O$15+6&gt;=$E30),AND(O$15&lt;=$F30,O$15+6&gt;=$F30)),3,""),IF(AND(O$15&lt;=$F30,O$15+6&gt;=$E30),IF($I30="Milestone",IF(AND(OR($D30="Complete",$D30="Submitted"),$F30&gt;Sources!$C$5),"T",2),IF(AND(OR($D30="Complete",$D30="Submitted"),O$15&gt;Sources!$C$5),4,1)),"")))</x:f>
      </x:c>
      <x:c r="P30" s="35" t="str">
        <x:f>IF(OR($E30="",$F30=""),"",IF($I30="Either date",IF(OR(AND(P$15&lt;=$E30,P$15+6&gt;=$E30),AND(P$15&lt;=$F30,P$15+6&gt;=$F30)),3,""),IF(AND(P$15&lt;=$F30,P$15+6&gt;=$E30),IF($I30="Milestone",IF(AND(OR($D30="Complete",$D30="Submitted"),$F30&gt;Sources!$C$5),"T",2),IF(AND(OR($D30="Complete",$D30="Submitted"),P$15&gt;Sources!$C$5),4,1)),"")))</x:f>
      </x:c>
      <x:c r="Q30" s="35" t="str">
        <x:f>IF(OR($E30="",$F30=""),"",IF($I30="Either date",IF(OR(AND(Q$15&lt;=$E30,Q$15+6&gt;=$E30),AND(Q$15&lt;=$F30,Q$15+6&gt;=$F30)),3,""),IF(AND(Q$15&lt;=$F30,Q$15+6&gt;=$E30),IF($I30="Milestone",IF(AND(OR($D30="Complete",$D30="Submitted"),$F30&gt;Sources!$C$5),"T",2),IF(AND(OR($D30="Complete",$D30="Submitted"),Q$15&gt;Sources!$C$5),4,1)),"")))</x:f>
      </x:c>
      <x:c r="R30" s="35" t="str">
        <x:f>IF(OR($E30="",$F30=""),"",IF($I30="Either date",IF(OR(AND(R$15&lt;=$E30,R$15+6&gt;=$E30),AND(R$15&lt;=$F30,R$15+6&gt;=$F30)),3,""),IF(AND(R$15&lt;=$F30,R$15+6&gt;=$E30),IF($I30="Milestone",IF(AND(OR($D30="Complete",$D30="Submitted"),$F30&gt;Sources!$C$5),"T",2),IF(AND(OR($D30="Complete",$D30="Submitted"),R$15&gt;Sources!$C$5),4,1)),"")))</x:f>
      </x:c>
      <x:c r="S30" s="35" t="str">
        <x:f>IF(OR($E30="",$F30=""),"",IF($I30="Either date",IF(OR(AND(S$15&lt;=$E30,S$15+6&gt;=$E30),AND(S$15&lt;=$F30,S$15+6&gt;=$F30)),3,""),IF(AND(S$15&lt;=$F30,S$15+6&gt;=$E30),IF($I30="Milestone",IF(AND(OR($D30="Complete",$D30="Submitted"),$F30&gt;Sources!$C$5),"T",2),IF(AND(OR($D30="Complete",$D30="Submitted"),S$15&gt;Sources!$C$5),4,1)),"")))</x:f>
      </x:c>
      <x:c r="T30" s="35" t="str">
        <x:f>IF(OR($E30="",$F30=""),"",IF($I30="Either date",IF(OR(AND(T$15&lt;=$E30,T$15+6&gt;=$E30),AND(T$15&lt;=$F30,T$15+6&gt;=$F30)),3,""),IF(AND(T$15&lt;=$F30,T$15+6&gt;=$E30),IF($I30="Milestone",IF(AND(OR($D30="Complete",$D30="Submitted"),$F30&gt;Sources!$C$5),"T",2),IF(AND(OR($D30="Complete",$D30="Submitted"),T$15&gt;Sources!$C$5),4,1)),"")))</x:f>
      </x:c>
      <x:c r="U30" s="2"/>
      <x:c r="V30" s="2" t="str">
        <x:v>Battery powered the bench setup. Runtime, capacity and charging performance remain unverified; no further target is set.</x:v>
      </x:c>
      <x:c r="W30" s="18" t="str">
        <x:v>FS.09–FS.10</x:v>
      </x:c>
      <x:c r="X30" s="18" t="str">
        <x:v>Week 8 and Week 9</x:v>
      </x:c>
    </x:row>
    <x:row r="31" ht="24" customHeight="1">
      <x:c r="A31" s="33" t="str">
        <x:v>Midterm and improved MVP</x:v>
      </x:c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2"/>
      <x:c r="V31" s="2"/>
      <x:c r="W31" s="18"/>
      <x:c r="X31" s="18"/>
    </x:row>
    <x:row r="32" ht="38" customHeight="1">
      <x:c r="A32" s="36" t="str">
        <x:v>P1</x:v>
      </x:c>
      <x:c r="B32" s="37" t="str">
        <x:v>Order MVP materials and track deliveries</x:v>
      </x:c>
      <x:c r="C32" s="37" t="str">
        <x:v>Daniel</x:v>
      </x:c>
      <x:c r="D32" s="36" t="str">
        <x:v>Complete</x:v>
      </x:c>
      <x:c r="E32" s="38" t="d">
        <x:v>2026-09-29T00:00:00.000Z</x:v>
      </x:c>
      <x:c r="F32" s="38" t="d">
        <x:v>2026-10-16T00:00:00.000Z</x:v>
      </x:c>
      <x:c r="G32" s="36" t="n">
        <x:f>IF(OR(E32="",F32="",I32="Either date"),"",IF(F32&lt;E32,"Review",F32-E32+1))</x:f>
        <x:v>18</x:v>
      </x:c>
      <x:c r="H32" s="37" t="str">
        <x:v>R1</x:v>
      </x:c>
      <x:c r="I32" s="37" t="str">
        <x:v>Window</x:v>
      </x:c>
      <x:c r="J32" s="35" t="n">
        <x:f>IF(OR($E32="",$F32=""),"",IF($I32="Either date",IF(OR(AND(J$15&lt;=$E32,J$15+6&gt;=$E32),AND(J$15&lt;=$F32,J$15+6&gt;=$F32)),3,""),IF(AND(J$15&lt;=$F32,J$15+6&gt;=$E32),IF($I32="Milestone",IF(AND(OR($D32="Complete",$D32="Submitted"),$F32&gt;Sources!$C$5),"T",2),IF(AND(OR($D32="Complete",$D32="Submitted"),J$15&gt;Sources!$C$5),4,1)),"")))</x:f>
        <x:v>1</x:v>
      </x:c>
      <x:c r="K32" s="35" t="n">
        <x:f>IF(OR($E32="",$F32=""),"",IF($I32="Either date",IF(OR(AND(K$15&lt;=$E32,K$15+6&gt;=$E32),AND(K$15&lt;=$F32,K$15+6&gt;=$F32)),3,""),IF(AND(K$15&lt;=$F32,K$15+6&gt;=$E32),IF($I32="Milestone",IF(AND(OR($D32="Complete",$D32="Submitted"),$F32&gt;Sources!$C$5),"T",2),IF(AND(OR($D32="Complete",$D32="Submitted"),K$15&gt;Sources!$C$5),4,1)),"")))</x:f>
        <x:v>1</x:v>
      </x:c>
      <x:c r="L32" s="35" t="n">
        <x:f>IF(OR($E32="",$F32=""),"",IF($I32="Either date",IF(OR(AND(L$15&lt;=$E32,L$15+6&gt;=$E32),AND(L$15&lt;=$F32,L$15+6&gt;=$F32)),3,""),IF(AND(L$15&lt;=$F32,L$15+6&gt;=$E32),IF($I32="Milestone",IF(AND(OR($D32="Complete",$D32="Submitted"),$F32&gt;Sources!$C$5),"T",2),IF(AND(OR($D32="Complete",$D32="Submitted"),L$15&gt;Sources!$C$5),4,1)),"")))</x:f>
        <x:v>1</x:v>
      </x:c>
      <x:c r="M32" s="35" t="str">
        <x:f>IF(OR($E32="",$F32=""),"",IF($I32="Either date",IF(OR(AND(M$15&lt;=$E32,M$15+6&gt;=$E32),AND(M$15&lt;=$F32,M$15+6&gt;=$F32)),3,""),IF(AND(M$15&lt;=$F32,M$15+6&gt;=$E32),IF($I32="Milestone",IF(AND(OR($D32="Complete",$D32="Submitted"),$F32&gt;Sources!$C$5),"T",2),IF(AND(OR($D32="Complete",$D32="Submitted"),M$15&gt;Sources!$C$5),4,1)),"")))</x:f>
      </x:c>
      <x:c r="N32" s="35" t="str">
        <x:f>IF(OR($E32="",$F32=""),"",IF($I32="Either date",IF(OR(AND(N$15&lt;=$E32,N$15+6&gt;=$E32),AND(N$15&lt;=$F32,N$15+6&gt;=$F32)),3,""),IF(AND(N$15&lt;=$F32,N$15+6&gt;=$E32),IF($I32="Milestone",IF(AND(OR($D32="Complete",$D32="Submitted"),$F32&gt;Sources!$C$5),"T",2),IF(AND(OR($D32="Complete",$D32="Submitted"),N$15&gt;Sources!$C$5),4,1)),"")))</x:f>
      </x:c>
      <x:c r="O32" s="35" t="str">
        <x:f>IF(OR($E32="",$F32=""),"",IF($I32="Either date",IF(OR(AND(O$15&lt;=$E32,O$15+6&gt;=$E32),AND(O$15&lt;=$F32,O$15+6&gt;=$F32)),3,""),IF(AND(O$15&lt;=$F32,O$15+6&gt;=$E32),IF($I32="Milestone",IF(AND(OR($D32="Complete",$D32="Submitted"),$F32&gt;Sources!$C$5),"T",2),IF(AND(OR($D32="Complete",$D32="Submitted"),O$15&gt;Sources!$C$5),4,1)),"")))</x:f>
      </x:c>
      <x:c r="P32" s="35" t="str">
        <x:f>IF(OR($E32="",$F32=""),"",IF($I32="Either date",IF(OR(AND(P$15&lt;=$E32,P$15+6&gt;=$E32),AND(P$15&lt;=$F32,P$15+6&gt;=$F32)),3,""),IF(AND(P$15&lt;=$F32,P$15+6&gt;=$E32),IF($I32="Milestone",IF(AND(OR($D32="Complete",$D32="Submitted"),$F32&gt;Sources!$C$5),"T",2),IF(AND(OR($D32="Complete",$D32="Submitted"),P$15&gt;Sources!$C$5),4,1)),"")))</x:f>
      </x:c>
      <x:c r="Q32" s="35" t="str">
        <x:f>IF(OR($E32="",$F32=""),"",IF($I32="Either date",IF(OR(AND(Q$15&lt;=$E32,Q$15+6&gt;=$E32),AND(Q$15&lt;=$F32,Q$15+6&gt;=$F32)),3,""),IF(AND(Q$15&lt;=$F32,Q$15+6&gt;=$E32),IF($I32="Milestone",IF(AND(OR($D32="Complete",$D32="Submitted"),$F32&gt;Sources!$C$5),"T",2),IF(AND(OR($D32="Complete",$D32="Submitted"),Q$15&gt;Sources!$C$5),4,1)),"")))</x:f>
      </x:c>
      <x:c r="R32" s="35" t="str">
        <x:f>IF(OR($E32="",$F32=""),"",IF($I32="Either date",IF(OR(AND(R$15&lt;=$E32,R$15+6&gt;=$E32),AND(R$15&lt;=$F32,R$15+6&gt;=$F32)),3,""),IF(AND(R$15&lt;=$F32,R$15+6&gt;=$E32),IF($I32="Milestone",IF(AND(OR($D32="Complete",$D32="Submitted"),$F32&gt;Sources!$C$5),"T",2),IF(AND(OR($D32="Complete",$D32="Submitted"),R$15&gt;Sources!$C$5),4,1)),"")))</x:f>
      </x:c>
      <x:c r="S32" s="35" t="str">
        <x:f>IF(OR($E32="",$F32=""),"",IF($I32="Either date",IF(OR(AND(S$15&lt;=$E32,S$15+6&gt;=$E32),AND(S$15&lt;=$F32,S$15+6&gt;=$F32)),3,""),IF(AND(S$15&lt;=$F32,S$15+6&gt;=$E32),IF($I32="Milestone",IF(AND(OR($D32="Complete",$D32="Submitted"),$F32&gt;Sources!$C$5),"T",2),IF(AND(OR($D32="Complete",$D32="Submitted"),S$15&gt;Sources!$C$5),4,1)),"")))</x:f>
      </x:c>
      <x:c r="T32" s="35" t="str">
        <x:f>IF(OR($E32="",$F32=""),"",IF($I32="Either date",IF(OR(AND(T$15&lt;=$E32,T$15+6&gt;=$E32),AND(T$15&lt;=$F32,T$15+6&gt;=$F32)),3,""),IF(AND(T$15&lt;=$F32,T$15+6&gt;=$E32),IF($I32="Milestone",IF(AND(OR($D32="Complete",$D32="Submitted"),$F32&gt;Sources!$C$5),"T",2),IF(AND(OR($D32="Complete",$D32="Submitted"),T$15&gt;Sources!$C$5),4,1)),"")))</x:f>
      </x:c>
      <x:c r="U32" s="2"/>
      <x:c r="V32" s="2" t="str">
        <x:v>Materials available for the earlier prototype work.</x:v>
      </x:c>
      <x:c r="W32" s="18" t="str">
        <x:v>All subsystems</x:v>
      </x:c>
      <x:c r="X32" s="18" t="str">
        <x:v>Submitted Gantt</x:v>
      </x:c>
    </x:row>
    <x:row r="33" ht="38" customHeight="1">
      <x:c r="A33" s="2" t="str">
        <x:v>M1</x:v>
      </x:c>
      <x:c r="B33" s="18" t="str">
        <x:v>Prototypes 1 and 2 ready</x:v>
      </x:c>
      <x:c r="C33" s="18" t="str">
        <x:v>All four</x:v>
      </x:c>
      <x:c r="D33" s="2" t="str">
        <x:v>Complete</x:v>
      </x:c>
      <x:c r="E33" s="15" t="n">
        <x:f>'Sources'!$C$6</x:f>
        <x:v>46321</x:v>
      </x:c>
      <x:c r="F33" s="15" t="n">
        <x:f>'Sources'!$C$6</x:f>
        <x:v>46321</x:v>
      </x:c>
      <x:c r="G33" s="2" t="n">
        <x:f>IF(OR(E33="",F33="",I33="Either date"),"",IF(F33&lt;E33,"Review",F33-E33+1))</x:f>
        <x:v>1</x:v>
      </x:c>
      <x:c r="H33" s="18" t="str">
        <x:v>PR1, PR2</x:v>
      </x:c>
      <x:c r="I33" s="18" t="str">
        <x:v>Milestone</x:v>
      </x:c>
      <x:c r="J33" s="35" t="str">
        <x:f>IF(OR($E33="",$F33=""),"",IF($I33="Either date",IF(OR(AND(J$15&lt;=$E33,J$15+6&gt;=$E33),AND(J$15&lt;=$F33,J$15+6&gt;=$F33)),3,""),IF(AND(J$15&lt;=$F33,J$15+6&gt;=$E33),IF($I33="Milestone",IF(AND(OR($D33="Complete",$D33="Submitted"),$F33&gt;Sources!$C$5),"T",2),IF(AND(OR($D33="Complete",$D33="Submitted"),J$15&gt;Sources!$C$5),4,1)),"")))</x:f>
      </x:c>
      <x:c r="K33" s="35" t="str">
        <x:f>IF(OR($E33="",$F33=""),"",IF($I33="Either date",IF(OR(AND(K$15&lt;=$E33,K$15+6&gt;=$E33),AND(K$15&lt;=$F33,K$15+6&gt;=$F33)),3,""),IF(AND(K$15&lt;=$F33,K$15+6&gt;=$E33),IF($I33="Milestone",IF(AND(OR($D33="Complete",$D33="Submitted"),$F33&gt;Sources!$C$5),"T",2),IF(AND(OR($D33="Complete",$D33="Submitted"),K$15&gt;Sources!$C$5),4,1)),"")))</x:f>
      </x:c>
      <x:c r="L33" s="35" t="str">
        <x:f>IF(OR($E33="",$F33=""),"",IF($I33="Either date",IF(OR(AND(L$15&lt;=$E33,L$15+6&gt;=$E33),AND(L$15&lt;=$F33,L$15+6&gt;=$F33)),3,""),IF(AND(L$15&lt;=$F33,L$15+6&gt;=$E33),IF($I33="Milestone",IF(AND(OR($D33="Complete",$D33="Submitted"),$F33&gt;Sources!$C$5),"T",2),IF(AND(OR($D33="Complete",$D33="Submitted"),L$15&gt;Sources!$C$5),4,1)),"")))</x:f>
      </x:c>
      <x:c r="M33" s="35" t="str">
        <x:f>IF(OR($E33="",$F33=""),"",IF($I33="Either date",IF(OR(AND(M$15&lt;=$E33,M$15+6&gt;=$E33),AND(M$15&lt;=$F33,M$15+6&gt;=$F33)),3,""),IF(AND(M$15&lt;=$F33,M$15+6&gt;=$E33),IF($I33="Milestone",IF(AND(OR($D33="Complete",$D33="Submitted"),$F33&gt;Sources!$C$5),"T",2),IF(AND(OR($D33="Complete",$D33="Submitted"),M$15&gt;Sources!$C$5),4,1)),"")))</x:f>
      </x:c>
      <x:c r="N33" s="35" t="str">
        <x:f>IF(OR($E33="",$F33=""),"",IF($I33="Either date",IF(OR(AND(N$15&lt;=$E33,N$15+6&gt;=$E33),AND(N$15&lt;=$F33,N$15+6&gt;=$F33)),3,""),IF(AND(N$15&lt;=$F33,N$15+6&gt;=$E33),IF($I33="Milestone",IF(AND(OR($D33="Complete",$D33="Submitted"),$F33&gt;Sources!$C$5),"T",2),IF(AND(OR($D33="Complete",$D33="Submitted"),N$15&gt;Sources!$C$5),4,1)),"")))</x:f>
        <x:v>T</x:v>
      </x:c>
      <x:c r="O33" s="35" t="str">
        <x:f>IF(OR($E33="",$F33=""),"",IF($I33="Either date",IF(OR(AND(O$15&lt;=$E33,O$15+6&gt;=$E33),AND(O$15&lt;=$F33,O$15+6&gt;=$F33)),3,""),IF(AND(O$15&lt;=$F33,O$15+6&gt;=$E33),IF($I33="Milestone",IF(AND(OR($D33="Complete",$D33="Submitted"),$F33&gt;Sources!$C$5),"T",2),IF(AND(OR($D33="Complete",$D33="Submitted"),O$15&gt;Sources!$C$5),4,1)),"")))</x:f>
      </x:c>
      <x:c r="P33" s="35" t="str">
        <x:f>IF(OR($E33="",$F33=""),"",IF($I33="Either date",IF(OR(AND(P$15&lt;=$E33,P$15+6&gt;=$E33),AND(P$15&lt;=$F33,P$15+6&gt;=$F33)),3,""),IF(AND(P$15&lt;=$F33,P$15+6&gt;=$E33),IF($I33="Milestone",IF(AND(OR($D33="Complete",$D33="Submitted"),$F33&gt;Sources!$C$5),"T",2),IF(AND(OR($D33="Complete",$D33="Submitted"),P$15&gt;Sources!$C$5),4,1)),"")))</x:f>
      </x:c>
      <x:c r="Q33" s="35" t="str">
        <x:f>IF(OR($E33="",$F33=""),"",IF($I33="Either date",IF(OR(AND(Q$15&lt;=$E33,Q$15+6&gt;=$E33),AND(Q$15&lt;=$F33,Q$15+6&gt;=$F33)),3,""),IF(AND(Q$15&lt;=$F33,Q$15+6&gt;=$E33),IF($I33="Milestone",IF(AND(OR($D33="Complete",$D33="Submitted"),$F33&gt;Sources!$C$5),"T",2),IF(AND(OR($D33="Complete",$D33="Submitted"),Q$15&gt;Sources!$C$5),4,1)),"")))</x:f>
      </x:c>
      <x:c r="R33" s="35" t="str">
        <x:f>IF(OR($E33="",$F33=""),"",IF($I33="Either date",IF(OR(AND(R$15&lt;=$E33,R$15+6&gt;=$E33),AND(R$15&lt;=$F33,R$15+6&gt;=$F33)),3,""),IF(AND(R$15&lt;=$F33,R$15+6&gt;=$E33),IF($I33="Milestone",IF(AND(OR($D33="Complete",$D33="Submitted"),$F33&gt;Sources!$C$5),"T",2),IF(AND(OR($D33="Complete",$D33="Submitted"),R$15&gt;Sources!$C$5),4,1)),"")))</x:f>
      </x:c>
      <x:c r="S33" s="35" t="str">
        <x:f>IF(OR($E33="",$F33=""),"",IF($I33="Either date",IF(OR(AND(S$15&lt;=$E33,S$15+6&gt;=$E33),AND(S$15&lt;=$F33,S$15+6&gt;=$F33)),3,""),IF(AND(S$15&lt;=$F33,S$15+6&gt;=$E33),IF($I33="Milestone",IF(AND(OR($D33="Complete",$D33="Submitted"),$F33&gt;Sources!$C$5),"T",2),IF(AND(OR($D33="Complete",$D33="Submitted"),S$15&gt;Sources!$C$5),4,1)),"")))</x:f>
      </x:c>
      <x:c r="T33" s="35" t="str">
        <x:f>IF(OR($E33="",$F33=""),"",IF($I33="Either date",IF(OR(AND(T$15&lt;=$E33,T$15+6&gt;=$E33),AND(T$15&lt;=$F33,T$15+6&gt;=$F33)),3,""),IF(AND(T$15&lt;=$F33,T$15+6&gt;=$E33),IF($I33="Milestone",IF(AND(OR($D33="Complete",$D33="Submitted"),$F33&gt;Sources!$C$5),"T",2),IF(AND(OR($D33="Complete",$D33="Submitted"),T$15&gt;Sources!$C$5),4,1)),"")))</x:f>
      </x:c>
      <x:c r="U33" s="2"/>
      <x:c r="V33" s="2" t="str">
        <x:v>Prototype work is complete within Week 9. The date is its scheduled readiness target.</x:v>
      </x:c>
      <x:c r="W33" s="18" t="str">
        <x:v>All FS / TS</x:v>
      </x:c>
      <x:c r="X33" s="18" t="str">
        <x:v>Submitted Gantt</x:v>
      </x:c>
    </x:row>
    <x:row r="34" ht="38" customHeight="1">
      <x:c r="A34" s="36" t="str">
        <x:v>M2</x:v>
      </x:c>
      <x:c r="B34" s="37" t="str">
        <x:v>Prototype 3 ready</x:v>
      </x:c>
      <x:c r="C34" s="37" t="str">
        <x:v>All four</x:v>
      </x:c>
      <x:c r="D34" s="36" t="str">
        <x:v>Complete</x:v>
      </x:c>
      <x:c r="E34" s="38" t="n">
        <x:f>'Sources'!$C$6</x:f>
        <x:v>46321</x:v>
      </x:c>
      <x:c r="F34" s="38" t="n">
        <x:f>'Sources'!$C$6</x:f>
        <x:v>46321</x:v>
      </x:c>
      <x:c r="G34" s="36" t="n">
        <x:f>IF(OR(E34="",F34="",I34="Either date"),"",IF(F34&lt;E34,"Review",F34-E34+1))</x:f>
        <x:v>1</x:v>
      </x:c>
      <x:c r="H34" s="37" t="str">
        <x:v>PR3</x:v>
      </x:c>
      <x:c r="I34" s="37" t="str">
        <x:v>Milestone</x:v>
      </x:c>
      <x:c r="J34" s="35" t="str">
        <x:f>IF(OR($E34="",$F34=""),"",IF($I34="Either date",IF(OR(AND(J$15&lt;=$E34,J$15+6&gt;=$E34),AND(J$15&lt;=$F34,J$15+6&gt;=$F34)),3,""),IF(AND(J$15&lt;=$F34,J$15+6&gt;=$E34),IF($I34="Milestone",IF(AND(OR($D34="Complete",$D34="Submitted"),$F34&gt;Sources!$C$5),"T",2),IF(AND(OR($D34="Complete",$D34="Submitted"),J$15&gt;Sources!$C$5),4,1)),"")))</x:f>
      </x:c>
      <x:c r="K34" s="35" t="str">
        <x:f>IF(OR($E34="",$F34=""),"",IF($I34="Either date",IF(OR(AND(K$15&lt;=$E34,K$15+6&gt;=$E34),AND(K$15&lt;=$F34,K$15+6&gt;=$F34)),3,""),IF(AND(K$15&lt;=$F34,K$15+6&gt;=$E34),IF($I34="Milestone",IF(AND(OR($D34="Complete",$D34="Submitted"),$F34&gt;Sources!$C$5),"T",2),IF(AND(OR($D34="Complete",$D34="Submitted"),K$15&gt;Sources!$C$5),4,1)),"")))</x:f>
      </x:c>
      <x:c r="L34" s="35" t="str">
        <x:f>IF(OR($E34="",$F34=""),"",IF($I34="Either date",IF(OR(AND(L$15&lt;=$E34,L$15+6&gt;=$E34),AND(L$15&lt;=$F34,L$15+6&gt;=$F34)),3,""),IF(AND(L$15&lt;=$F34,L$15+6&gt;=$E34),IF($I34="Milestone",IF(AND(OR($D34="Complete",$D34="Submitted"),$F34&gt;Sources!$C$5),"T",2),IF(AND(OR($D34="Complete",$D34="Submitted"),L$15&gt;Sources!$C$5),4,1)),"")))</x:f>
      </x:c>
      <x:c r="M34" s="35" t="str">
        <x:f>IF(OR($E34="",$F34=""),"",IF($I34="Either date",IF(OR(AND(M$15&lt;=$E34,M$15+6&gt;=$E34),AND(M$15&lt;=$F34,M$15+6&gt;=$F34)),3,""),IF(AND(M$15&lt;=$F34,M$15+6&gt;=$E34),IF($I34="Milestone",IF(AND(OR($D34="Complete",$D34="Submitted"),$F34&gt;Sources!$C$5),"T",2),IF(AND(OR($D34="Complete",$D34="Submitted"),M$15&gt;Sources!$C$5),4,1)),"")))</x:f>
      </x:c>
      <x:c r="N34" s="35" t="str">
        <x:f>IF(OR($E34="",$F34=""),"",IF($I34="Either date",IF(OR(AND(N$15&lt;=$E34,N$15+6&gt;=$E34),AND(N$15&lt;=$F34,N$15+6&gt;=$F34)),3,""),IF(AND(N$15&lt;=$F34,N$15+6&gt;=$E34),IF($I34="Milestone",IF(AND(OR($D34="Complete",$D34="Submitted"),$F34&gt;Sources!$C$5),"T",2),IF(AND(OR($D34="Complete",$D34="Submitted"),N$15&gt;Sources!$C$5),4,1)),"")))</x:f>
        <x:v>T</x:v>
      </x:c>
      <x:c r="O34" s="35" t="str">
        <x:f>IF(OR($E34="",$F34=""),"",IF($I34="Either date",IF(OR(AND(O$15&lt;=$E34,O$15+6&gt;=$E34),AND(O$15&lt;=$F34,O$15+6&gt;=$F34)),3,""),IF(AND(O$15&lt;=$F34,O$15+6&gt;=$E34),IF($I34="Milestone",IF(AND(OR($D34="Complete",$D34="Submitted"),$F34&gt;Sources!$C$5),"T",2),IF(AND(OR($D34="Complete",$D34="Submitted"),O$15&gt;Sources!$C$5),4,1)),"")))</x:f>
      </x:c>
      <x:c r="P34" s="35" t="str">
        <x:f>IF(OR($E34="",$F34=""),"",IF($I34="Either date",IF(OR(AND(P$15&lt;=$E34,P$15+6&gt;=$E34),AND(P$15&lt;=$F34,P$15+6&gt;=$F34)),3,""),IF(AND(P$15&lt;=$F34,P$15+6&gt;=$E34),IF($I34="Milestone",IF(AND(OR($D34="Complete",$D34="Submitted"),$F34&gt;Sources!$C$5),"T",2),IF(AND(OR($D34="Complete",$D34="Submitted"),P$15&gt;Sources!$C$5),4,1)),"")))</x:f>
      </x:c>
      <x:c r="Q34" s="35" t="str">
        <x:f>IF(OR($E34="",$F34=""),"",IF($I34="Either date",IF(OR(AND(Q$15&lt;=$E34,Q$15+6&gt;=$E34),AND(Q$15&lt;=$F34,Q$15+6&gt;=$F34)),3,""),IF(AND(Q$15&lt;=$F34,Q$15+6&gt;=$E34),IF($I34="Milestone",IF(AND(OR($D34="Complete",$D34="Submitted"),$F34&gt;Sources!$C$5),"T",2),IF(AND(OR($D34="Complete",$D34="Submitted"),Q$15&gt;Sources!$C$5),4,1)),"")))</x:f>
      </x:c>
      <x:c r="R34" s="35" t="str">
        <x:f>IF(OR($E34="",$F34=""),"",IF($I34="Either date",IF(OR(AND(R$15&lt;=$E34,R$15+6&gt;=$E34),AND(R$15&lt;=$F34,R$15+6&gt;=$F34)),3,""),IF(AND(R$15&lt;=$F34,R$15+6&gt;=$E34),IF($I34="Milestone",IF(AND(OR($D34="Complete",$D34="Submitted"),$F34&gt;Sources!$C$5),"T",2),IF(AND(OR($D34="Complete",$D34="Submitted"),R$15&gt;Sources!$C$5),4,1)),"")))</x:f>
      </x:c>
      <x:c r="S34" s="35" t="str">
        <x:f>IF(OR($E34="",$F34=""),"",IF($I34="Either date",IF(OR(AND(S$15&lt;=$E34,S$15+6&gt;=$E34),AND(S$15&lt;=$F34,S$15+6&gt;=$F34)),3,""),IF(AND(S$15&lt;=$F34,S$15+6&gt;=$E34),IF($I34="Milestone",IF(AND(OR($D34="Complete",$D34="Submitted"),$F34&gt;Sources!$C$5),"T",2),IF(AND(OR($D34="Complete",$D34="Submitted"),S$15&gt;Sources!$C$5),4,1)),"")))</x:f>
      </x:c>
      <x:c r="T34" s="35" t="str">
        <x:f>IF(OR($E34="",$F34=""),"",IF($I34="Either date",IF(OR(AND(T$15&lt;=$E34,T$15+6&gt;=$E34),AND(T$15&lt;=$F34,T$15+6&gt;=$F34)),3,""),IF(AND(T$15&lt;=$F34,T$15+6&gt;=$E34),IF($I34="Milestone",IF(AND(OR($D34="Complete",$D34="Submitted"),$F34&gt;Sources!$C$5),"T",2),IF(AND(OR($D34="Complete",$D34="Submitted"),T$15&gt;Sources!$C$5),4,1)),"")))</x:f>
      </x:c>
      <x:c r="U34" s="2"/>
      <x:c r="V34" s="2" t="str">
        <x:v>Camera-image recognition controlled both outputs within Week 9. The date is its scheduled readiness target.</x:v>
      </x:c>
      <x:c r="W34" s="18" t="str">
        <x:v>All FS / TS</x:v>
      </x:c>
      <x:c r="X34" s="18" t="str">
        <x:v>Submitted Gantt</x:v>
      </x:c>
    </x:row>
    <x:row r="35" ht="38" customHeight="1">
      <x:c r="A35" s="2" t="str">
        <x:v>P2</x:v>
      </x:c>
      <x:c r="B35" s="18" t="str">
        <x:v>Prepare midterm slides and individual speaking parts</x:v>
      </x:c>
      <x:c r="C35" s="18" t="str">
        <x:v>Ayan and Joseph</x:v>
      </x:c>
      <x:c r="D35" s="2" t="str">
        <x:v>In progress</x:v>
      </x:c>
      <x:c r="E35" s="15" t="d">
        <x:v>2026-10-16T00:00:00.000Z</x:v>
      </x:c>
      <x:c r="F35" s="15" t="n">
        <x:f>'Sources'!$C$6</x:f>
        <x:v>46321</x:v>
      </x:c>
      <x:c r="G35" s="2" t="n">
        <x:f>IF(OR(E35="",F35="",I35="Either date"),"",IF(F35&lt;E35,"Review",F35-E35+1))</x:f>
        <x:v>11</x:v>
      </x:c>
      <x:c r="H35" s="18" t="str">
        <x:v>PR1–PR3 findings</x:v>
      </x:c>
      <x:c r="I35" s="18" t="str">
        <x:v>Window</x:v>
      </x:c>
      <x:c r="J35" s="35" t="str">
        <x:f>IF(OR($E35="",$F35=""),"",IF($I35="Either date",IF(OR(AND(J$15&lt;=$E35,J$15+6&gt;=$E35),AND(J$15&lt;=$F35,J$15+6&gt;=$F35)),3,""),IF(AND(J$15&lt;=$F35,J$15+6&gt;=$E35),IF($I35="Milestone",IF(AND(OR($D35="Complete",$D35="Submitted"),$F35&gt;Sources!$C$5),"T",2),IF(AND(OR($D35="Complete",$D35="Submitted"),J$15&gt;Sources!$C$5),4,1)),"")))</x:f>
      </x:c>
      <x:c r="K35" s="35" t="str">
        <x:f>IF(OR($E35="",$F35=""),"",IF($I35="Either date",IF(OR(AND(K$15&lt;=$E35,K$15+6&gt;=$E35),AND(K$15&lt;=$F35,K$15+6&gt;=$F35)),3,""),IF(AND(K$15&lt;=$F35,K$15+6&gt;=$E35),IF($I35="Milestone",IF(AND(OR($D35="Complete",$D35="Submitted"),$F35&gt;Sources!$C$5),"T",2),IF(AND(OR($D35="Complete",$D35="Submitted"),K$15&gt;Sources!$C$5),4,1)),"")))</x:f>
      </x:c>
      <x:c r="L35" s="35" t="n">
        <x:f>IF(OR($E35="",$F35=""),"",IF($I35="Either date",IF(OR(AND(L$15&lt;=$E35,L$15+6&gt;=$E35),AND(L$15&lt;=$F35,L$15+6&gt;=$F35)),3,""),IF(AND(L$15&lt;=$F35,L$15+6&gt;=$E35),IF($I35="Milestone",IF(AND(OR($D35="Complete",$D35="Submitted"),$F35&gt;Sources!$C$5),"T",2),IF(AND(OR($D35="Complete",$D35="Submitted"),L$15&gt;Sources!$C$5),4,1)),"")))</x:f>
        <x:v>1</x:v>
      </x:c>
      <x:c r="M35" s="35" t="n">
        <x:f>IF(OR($E35="",$F35=""),"",IF($I35="Either date",IF(OR(AND(M$15&lt;=$E35,M$15+6&gt;=$E35),AND(M$15&lt;=$F35,M$15+6&gt;=$F35)),3,""),IF(AND(M$15&lt;=$F35,M$15+6&gt;=$E35),IF($I35="Milestone",IF(AND(OR($D35="Complete",$D35="Submitted"),$F35&gt;Sources!$C$5),"T",2),IF(AND(OR($D35="Complete",$D35="Submitted"),M$15&gt;Sources!$C$5),4,1)),"")))</x:f>
        <x:v>1</x:v>
      </x:c>
      <x:c r="N35" s="35" t="n">
        <x:f>IF(OR($E35="",$F35=""),"",IF($I35="Either date",IF(OR(AND(N$15&lt;=$E35,N$15+6&gt;=$E35),AND(N$15&lt;=$F35,N$15+6&gt;=$F35)),3,""),IF(AND(N$15&lt;=$F35,N$15+6&gt;=$E35),IF($I35="Milestone",IF(AND(OR($D35="Complete",$D35="Submitted"),$F35&gt;Sources!$C$5),"T",2),IF(AND(OR($D35="Complete",$D35="Submitted"),N$15&gt;Sources!$C$5),4,1)),"")))</x:f>
        <x:v>1</x:v>
      </x:c>
      <x:c r="O35" s="35" t="str">
        <x:f>IF(OR($E35="",$F35=""),"",IF($I35="Either date",IF(OR(AND(O$15&lt;=$E35,O$15+6&gt;=$E35),AND(O$15&lt;=$F35,O$15+6&gt;=$F35)),3,""),IF(AND(O$15&lt;=$F35,O$15+6&gt;=$E35),IF($I35="Milestone",IF(AND(OR($D35="Complete",$D35="Submitted"),$F35&gt;Sources!$C$5),"T",2),IF(AND(OR($D35="Complete",$D35="Submitted"),O$15&gt;Sources!$C$5),4,1)),"")))</x:f>
      </x:c>
      <x:c r="P35" s="35" t="str">
        <x:f>IF(OR($E35="",$F35=""),"",IF($I35="Either date",IF(OR(AND(P$15&lt;=$E35,P$15+6&gt;=$E35),AND(P$15&lt;=$F35,P$15+6&gt;=$F35)),3,""),IF(AND(P$15&lt;=$F35,P$15+6&gt;=$E35),IF($I35="Milestone",IF(AND(OR($D35="Complete",$D35="Submitted"),$F35&gt;Sources!$C$5),"T",2),IF(AND(OR($D35="Complete",$D35="Submitted"),P$15&gt;Sources!$C$5),4,1)),"")))</x:f>
      </x:c>
      <x:c r="Q35" s="35" t="str">
        <x:f>IF(OR($E35="",$F35=""),"",IF($I35="Either date",IF(OR(AND(Q$15&lt;=$E35,Q$15+6&gt;=$E35),AND(Q$15&lt;=$F35,Q$15+6&gt;=$F35)),3,""),IF(AND(Q$15&lt;=$F35,Q$15+6&gt;=$E35),IF($I35="Milestone",IF(AND(OR($D35="Complete",$D35="Submitted"),$F35&gt;Sources!$C$5),"T",2),IF(AND(OR($D35="Complete",$D35="Submitted"),Q$15&gt;Sources!$C$5),4,1)),"")))</x:f>
      </x:c>
      <x:c r="R35" s="35" t="str">
        <x:f>IF(OR($E35="",$F35=""),"",IF($I35="Either date",IF(OR(AND(R$15&lt;=$E35,R$15+6&gt;=$E35),AND(R$15&lt;=$F35,R$15+6&gt;=$F35)),3,""),IF(AND(R$15&lt;=$F35,R$15+6&gt;=$E35),IF($I35="Milestone",IF(AND(OR($D35="Complete",$D35="Submitted"),$F35&gt;Sources!$C$5),"T",2),IF(AND(OR($D35="Complete",$D35="Submitted"),R$15&gt;Sources!$C$5),4,1)),"")))</x:f>
      </x:c>
      <x:c r="S35" s="35" t="str">
        <x:f>IF(OR($E35="",$F35=""),"",IF($I35="Either date",IF(OR(AND(S$15&lt;=$E35,S$15+6&gt;=$E35),AND(S$15&lt;=$F35,S$15+6&gt;=$F35)),3,""),IF(AND(S$15&lt;=$F35,S$15+6&gt;=$E35),IF($I35="Milestone",IF(AND(OR($D35="Complete",$D35="Submitted"),$F35&gt;Sources!$C$5),"T",2),IF(AND(OR($D35="Complete",$D35="Submitted"),S$15&gt;Sources!$C$5),4,1)),"")))</x:f>
      </x:c>
      <x:c r="T35" s="35" t="str">
        <x:f>IF(OR($E35="",$F35=""),"",IF($I35="Either date",IF(OR(AND(T$15&lt;=$E35,T$15+6&gt;=$E35),AND(T$15&lt;=$F35,T$15+6&gt;=$F35)),3,""),IF(AND(T$15&lt;=$F35,T$15+6&gt;=$E35),IF($I35="Milestone",IF(AND(OR($D35="Complete",$D35="Submitted"),$F35&gt;Sources!$C$5),"T",2),IF(AND(OR($D35="Complete",$D35="Submitted"),T$15&gt;Sources!$C$5),4,1)),"")))</x:f>
      </x:c>
      <x:c r="U35" s="2"/>
      <x:c r="V35" s="2" t="str"/>
      <x:c r="W35" s="18" t="str">
        <x:v>All FS / TS</x:v>
      </x:c>
      <x:c r="X35" s="18" t="str">
        <x:v>Submitted Gantt</x:v>
      </x:c>
    </x:row>
    <x:row r="36" ht="38" customHeight="1">
      <x:c r="A36" s="36" t="str">
        <x:v>P3</x:v>
      </x:c>
      <x:c r="B36" s="37" t="str">
        <x:v>Prepare prototype evidence and rehearse the midterm</x:v>
      </x:c>
      <x:c r="C36" s="37" t="str">
        <x:v>All four</x:v>
      </x:c>
      <x:c r="D36" s="36" t="str">
        <x:v>Rehearsed</x:v>
      </x:c>
      <x:c r="E36" s="38" t="d">
        <x:v>2026-10-19T00:00:00.000Z</x:v>
      </x:c>
      <x:c r="F36" s="38" t="n">
        <x:f>'Sources'!$C$6</x:f>
        <x:v>46321</x:v>
      </x:c>
      <x:c r="G36" s="36" t="n">
        <x:f>IF(OR(E36="",F36="",I36="Either date"),"",IF(F36&lt;E36,"Review",F36-E36+1))</x:f>
        <x:v>8</x:v>
      </x:c>
      <x:c r="H36" s="37" t="str">
        <x:v>PR1, PR2, PR3</x:v>
      </x:c>
      <x:c r="I36" s="37" t="str">
        <x:v>Window</x:v>
      </x:c>
      <x:c r="J36" s="35" t="str">
        <x:f>IF(OR($E36="",$F36=""),"",IF($I36="Either date",IF(OR(AND(J$15&lt;=$E36,J$15+6&gt;=$E36),AND(J$15&lt;=$F36,J$15+6&gt;=$F36)),3,""),IF(AND(J$15&lt;=$F36,J$15+6&gt;=$E36),IF($I36="Milestone",IF(AND(OR($D36="Complete",$D36="Submitted"),$F36&gt;Sources!$C$5),"T",2),IF(AND(OR($D36="Complete",$D36="Submitted"),J$15&gt;Sources!$C$5),4,1)),"")))</x:f>
      </x:c>
      <x:c r="K36" s="35" t="str">
        <x:f>IF(OR($E36="",$F36=""),"",IF($I36="Either date",IF(OR(AND(K$15&lt;=$E36,K$15+6&gt;=$E36),AND(K$15&lt;=$F36,K$15+6&gt;=$F36)),3,""),IF(AND(K$15&lt;=$F36,K$15+6&gt;=$E36),IF($I36="Milestone",IF(AND(OR($D36="Complete",$D36="Submitted"),$F36&gt;Sources!$C$5),"T",2),IF(AND(OR($D36="Complete",$D36="Submitted"),K$15&gt;Sources!$C$5),4,1)),"")))</x:f>
      </x:c>
      <x:c r="L36" s="35" t="str">
        <x:f>IF(OR($E36="",$F36=""),"",IF($I36="Either date",IF(OR(AND(L$15&lt;=$E36,L$15+6&gt;=$E36),AND(L$15&lt;=$F36,L$15+6&gt;=$F36)),3,""),IF(AND(L$15&lt;=$F36,L$15+6&gt;=$E36),IF($I36="Milestone",IF(AND(OR($D36="Complete",$D36="Submitted"),$F36&gt;Sources!$C$5),"T",2),IF(AND(OR($D36="Complete",$D36="Submitted"),L$15&gt;Sources!$C$5),4,1)),"")))</x:f>
      </x:c>
      <x:c r="M36" s="35" t="n">
        <x:f>IF(OR($E36="",$F36=""),"",IF($I36="Either date",IF(OR(AND(M$15&lt;=$E36,M$15+6&gt;=$E36),AND(M$15&lt;=$F36,M$15+6&gt;=$F36)),3,""),IF(AND(M$15&lt;=$F36,M$15+6&gt;=$E36),IF($I36="Milestone",IF(AND(OR($D36="Complete",$D36="Submitted"),$F36&gt;Sources!$C$5),"T",2),IF(AND(OR($D36="Complete",$D36="Submitted"),M$15&gt;Sources!$C$5),4,1)),"")))</x:f>
        <x:v>1</x:v>
      </x:c>
      <x:c r="N36" s="35" t="n">
        <x:f>IF(OR($E36="",$F36=""),"",IF($I36="Either date",IF(OR(AND(N$15&lt;=$E36,N$15+6&gt;=$E36),AND(N$15&lt;=$F36,N$15+6&gt;=$F36)),3,""),IF(AND(N$15&lt;=$F36,N$15+6&gt;=$E36),IF($I36="Milestone",IF(AND(OR($D36="Complete",$D36="Submitted"),$F36&gt;Sources!$C$5),"T",2),IF(AND(OR($D36="Complete",$D36="Submitted"),N$15&gt;Sources!$C$5),4,1)),"")))</x:f>
        <x:v>1</x:v>
      </x:c>
      <x:c r="O36" s="35" t="str">
        <x:f>IF(OR($E36="",$F36=""),"",IF($I36="Either date",IF(OR(AND(O$15&lt;=$E36,O$15+6&gt;=$E36),AND(O$15&lt;=$F36,O$15+6&gt;=$F36)),3,""),IF(AND(O$15&lt;=$F36,O$15+6&gt;=$E36),IF($I36="Milestone",IF(AND(OR($D36="Complete",$D36="Submitted"),$F36&gt;Sources!$C$5),"T",2),IF(AND(OR($D36="Complete",$D36="Submitted"),O$15&gt;Sources!$C$5),4,1)),"")))</x:f>
      </x:c>
      <x:c r="P36" s="35" t="str">
        <x:f>IF(OR($E36="",$F36=""),"",IF($I36="Either date",IF(OR(AND(P$15&lt;=$E36,P$15+6&gt;=$E36),AND(P$15&lt;=$F36,P$15+6&gt;=$F36)),3,""),IF(AND(P$15&lt;=$F36,P$15+6&gt;=$E36),IF($I36="Milestone",IF(AND(OR($D36="Complete",$D36="Submitted"),$F36&gt;Sources!$C$5),"T",2),IF(AND(OR($D36="Complete",$D36="Submitted"),P$15&gt;Sources!$C$5),4,1)),"")))</x:f>
      </x:c>
      <x:c r="Q36" s="35" t="str">
        <x:f>IF(OR($E36="",$F36=""),"",IF($I36="Either date",IF(OR(AND(Q$15&lt;=$E36,Q$15+6&gt;=$E36),AND(Q$15&lt;=$F36,Q$15+6&gt;=$F36)),3,""),IF(AND(Q$15&lt;=$F36,Q$15+6&gt;=$E36),IF($I36="Milestone",IF(AND(OR($D36="Complete",$D36="Submitted"),$F36&gt;Sources!$C$5),"T",2),IF(AND(OR($D36="Complete",$D36="Submitted"),Q$15&gt;Sources!$C$5),4,1)),"")))</x:f>
      </x:c>
      <x:c r="R36" s="35" t="str">
        <x:f>IF(OR($E36="",$F36=""),"",IF($I36="Either date",IF(OR(AND(R$15&lt;=$E36,R$15+6&gt;=$E36),AND(R$15&lt;=$F36,R$15+6&gt;=$F36)),3,""),IF(AND(R$15&lt;=$F36,R$15+6&gt;=$E36),IF($I36="Milestone",IF(AND(OR($D36="Complete",$D36="Submitted"),$F36&gt;Sources!$C$5),"T",2),IF(AND(OR($D36="Complete",$D36="Submitted"),R$15&gt;Sources!$C$5),4,1)),"")))</x:f>
      </x:c>
      <x:c r="S36" s="35" t="str">
        <x:f>IF(OR($E36="",$F36=""),"",IF($I36="Either date",IF(OR(AND(S$15&lt;=$E36,S$15+6&gt;=$E36),AND(S$15&lt;=$F36,S$15+6&gt;=$F36)),3,""),IF(AND(S$15&lt;=$F36,S$15+6&gt;=$E36),IF($I36="Milestone",IF(AND(OR($D36="Complete",$D36="Submitted"),$F36&gt;Sources!$C$5),"T",2),IF(AND(OR($D36="Complete",$D36="Submitted"),S$15&gt;Sources!$C$5),4,1)),"")))</x:f>
      </x:c>
      <x:c r="T36" s="35" t="str">
        <x:f>IF(OR($E36="",$F36=""),"",IF($I36="Either date",IF(OR(AND(T$15&lt;=$E36,T$15+6&gt;=$E36),AND(T$15&lt;=$F36,T$15+6&gt;=$F36)),3,""),IF(AND(T$15&lt;=$F36,T$15+6&gt;=$E36),IF($I36="Milestone",IF(AND(OR($D36="Complete",$D36="Submitted"),$F36&gt;Sources!$C$5),"T",2),IF(AND(OR($D36="Complete",$D36="Submitted"),T$15&gt;Sources!$C$5),4,1)),"")))</x:f>
      </x:c>
      <x:c r="U36" s="2"/>
      <x:c r="V36" s="2" t="str">
        <x:v>Rehearsal completed; evidence preparation is scheduled through the submission deadline.</x:v>
      </x:c>
      <x:c r="W36" s="18" t="str">
        <x:v>All FS / TS</x:v>
      </x:c>
      <x:c r="X36" s="18" t="str">
        <x:v>Submitted Gantt</x:v>
      </x:c>
    </x:row>
    <x:row r="37" ht="38" customHeight="1">
      <x:c r="A37" s="2" t="str">
        <x:v>M3</x:v>
      </x:c>
      <x:c r="B37" s="18" t="str">
        <x:v>Midterm submission package ready</x:v>
      </x:c>
      <x:c r="C37" s="18" t="str">
        <x:v>All four</x:v>
      </x:c>
      <x:c r="D37" s="2" t="str">
        <x:v>Planned</x:v>
      </x:c>
      <x:c r="E37" s="15" t="n">
        <x:f>'Sources'!$C$6</x:f>
        <x:v>46321</x:v>
      </x:c>
      <x:c r="F37" s="15" t="n">
        <x:f>'Sources'!$C$6</x:f>
        <x:v>46321</x:v>
      </x:c>
      <x:c r="G37" s="2" t="n">
        <x:f>IF(OR(E37="",F37="",I37="Either date"),"",IF(F37&lt;E37,"Review",F37-E37+1))</x:f>
        <x:v>1</x:v>
      </x:c>
      <x:c r="H37" s="18" t="str">
        <x:v>P2, P3</x:v>
      </x:c>
      <x:c r="I37" s="18" t="str">
        <x:v>Milestone</x:v>
      </x:c>
      <x:c r="J37" s="35" t="str">
        <x:f>IF(OR($E37="",$F37=""),"",IF($I37="Either date",IF(OR(AND(J$15&lt;=$E37,J$15+6&gt;=$E37),AND(J$15&lt;=$F37,J$15+6&gt;=$F37)),3,""),IF(AND(J$15&lt;=$F37,J$15+6&gt;=$E37),IF($I37="Milestone",IF(AND(OR($D37="Complete",$D37="Submitted"),$F37&gt;Sources!$C$5),"T",2),IF(AND(OR($D37="Complete",$D37="Submitted"),J$15&gt;Sources!$C$5),4,1)),"")))</x:f>
      </x:c>
      <x:c r="K37" s="35" t="str">
        <x:f>IF(OR($E37="",$F37=""),"",IF($I37="Either date",IF(OR(AND(K$15&lt;=$E37,K$15+6&gt;=$E37),AND(K$15&lt;=$F37,K$15+6&gt;=$F37)),3,""),IF(AND(K$15&lt;=$F37,K$15+6&gt;=$E37),IF($I37="Milestone",IF(AND(OR($D37="Complete",$D37="Submitted"),$F37&gt;Sources!$C$5),"T",2),IF(AND(OR($D37="Complete",$D37="Submitted"),K$15&gt;Sources!$C$5),4,1)),"")))</x:f>
      </x:c>
      <x:c r="L37" s="35" t="str">
        <x:f>IF(OR($E37="",$F37=""),"",IF($I37="Either date",IF(OR(AND(L$15&lt;=$E37,L$15+6&gt;=$E37),AND(L$15&lt;=$F37,L$15+6&gt;=$F37)),3,""),IF(AND(L$15&lt;=$F37,L$15+6&gt;=$E37),IF($I37="Milestone",IF(AND(OR($D37="Complete",$D37="Submitted"),$F37&gt;Sources!$C$5),"T",2),IF(AND(OR($D37="Complete",$D37="Submitted"),L$15&gt;Sources!$C$5),4,1)),"")))</x:f>
      </x:c>
      <x:c r="M37" s="35" t="str">
        <x:f>IF(OR($E37="",$F37=""),"",IF($I37="Either date",IF(OR(AND(M$15&lt;=$E37,M$15+6&gt;=$E37),AND(M$15&lt;=$F37,M$15+6&gt;=$F37)),3,""),IF(AND(M$15&lt;=$F37,M$15+6&gt;=$E37),IF($I37="Milestone",IF(AND(OR($D37="Complete",$D37="Submitted"),$F37&gt;Sources!$C$5),"T",2),IF(AND(OR($D37="Complete",$D37="Submitted"),M$15&gt;Sources!$C$5),4,1)),"")))</x:f>
      </x:c>
      <x:c r="N37" s="35" t="n">
        <x:f>IF(OR($E37="",$F37=""),"",IF($I37="Either date",IF(OR(AND(N$15&lt;=$E37,N$15+6&gt;=$E37),AND(N$15&lt;=$F37,N$15+6&gt;=$F37)),3,""),IF(AND(N$15&lt;=$F37,N$15+6&gt;=$E37),IF($I37="Milestone",IF(AND(OR($D37="Complete",$D37="Submitted"),$F37&gt;Sources!$C$5),"T",2),IF(AND(OR($D37="Complete",$D37="Submitted"),N$15&gt;Sources!$C$5),4,1)),"")))</x:f>
        <x:v>2</x:v>
      </x:c>
      <x:c r="O37" s="35" t="str">
        <x:f>IF(OR($E37="",$F37=""),"",IF($I37="Either date",IF(OR(AND(O$15&lt;=$E37,O$15+6&gt;=$E37),AND(O$15&lt;=$F37,O$15+6&gt;=$F37)),3,""),IF(AND(O$15&lt;=$F37,O$15+6&gt;=$E37),IF($I37="Milestone",IF(AND(OR($D37="Complete",$D37="Submitted"),$F37&gt;Sources!$C$5),"T",2),IF(AND(OR($D37="Complete",$D37="Submitted"),O$15&gt;Sources!$C$5),4,1)),"")))</x:f>
      </x:c>
      <x:c r="P37" s="35" t="str">
        <x:f>IF(OR($E37="",$F37=""),"",IF($I37="Either date",IF(OR(AND(P$15&lt;=$E37,P$15+6&gt;=$E37),AND(P$15&lt;=$F37,P$15+6&gt;=$F37)),3,""),IF(AND(P$15&lt;=$F37,P$15+6&gt;=$E37),IF($I37="Milestone",IF(AND(OR($D37="Complete",$D37="Submitted"),$F37&gt;Sources!$C$5),"T",2),IF(AND(OR($D37="Complete",$D37="Submitted"),P$15&gt;Sources!$C$5),4,1)),"")))</x:f>
      </x:c>
      <x:c r="Q37" s="35" t="str">
        <x:f>IF(OR($E37="",$F37=""),"",IF($I37="Either date",IF(OR(AND(Q$15&lt;=$E37,Q$15+6&gt;=$E37),AND(Q$15&lt;=$F37,Q$15+6&gt;=$F37)),3,""),IF(AND(Q$15&lt;=$F37,Q$15+6&gt;=$E37),IF($I37="Milestone",IF(AND(OR($D37="Complete",$D37="Submitted"),$F37&gt;Sources!$C$5),"T",2),IF(AND(OR($D37="Complete",$D37="Submitted"),Q$15&gt;Sources!$C$5),4,1)),"")))</x:f>
      </x:c>
      <x:c r="R37" s="35" t="str">
        <x:f>IF(OR($E37="",$F37=""),"",IF($I37="Either date",IF(OR(AND(R$15&lt;=$E37,R$15+6&gt;=$E37),AND(R$15&lt;=$F37,R$15+6&gt;=$F37)),3,""),IF(AND(R$15&lt;=$F37,R$15+6&gt;=$E37),IF($I37="Milestone",IF(AND(OR($D37="Complete",$D37="Submitted"),$F37&gt;Sources!$C$5),"T",2),IF(AND(OR($D37="Complete",$D37="Submitted"),R$15&gt;Sources!$C$5),4,1)),"")))</x:f>
      </x:c>
      <x:c r="S37" s="35" t="str">
        <x:f>IF(OR($E37="",$F37=""),"",IF($I37="Either date",IF(OR(AND(S$15&lt;=$E37,S$15+6&gt;=$E37),AND(S$15&lt;=$F37,S$15+6&gt;=$F37)),3,""),IF(AND(S$15&lt;=$F37,S$15+6&gt;=$E37),IF($I37="Milestone",IF(AND(OR($D37="Complete",$D37="Submitted"),$F37&gt;Sources!$C$5),"T",2),IF(AND(OR($D37="Complete",$D37="Submitted"),S$15&gt;Sources!$C$5),4,1)),"")))</x:f>
      </x:c>
      <x:c r="T37" s="35" t="str">
        <x:f>IF(OR($E37="",$F37=""),"",IF($I37="Either date",IF(OR(AND(T$15&lt;=$E37,T$15+6&gt;=$E37),AND(T$15&lt;=$F37,T$15+6&gt;=$F37)),3,""),IF(AND(T$15&lt;=$F37,T$15+6&gt;=$E37),IF($I37="Milestone",IF(AND(OR($D37="Complete",$D37="Submitted"),$F37&gt;Sources!$C$5),"T",2),IF(AND(OR($D37="Complete",$D37="Submitted"),T$15&gt;Sources!$C$5),4,1)),"")))</x:f>
      </x:c>
      <x:c r="U37" s="2"/>
      <x:c r="V37" s="2" t="str">
        <x:v>Complete prototype evidence and slides for submission.</x:v>
      </x:c>
      <x:c r="W37" s="18" t="str">
        <x:v>All FS / TS</x:v>
      </x:c>
      <x:c r="X37" s="18" t="str">
        <x:v>Submitted Gantt</x:v>
      </x:c>
    </x:row>
    <x:row r="38" ht="38" customHeight="1">
      <x:c r="A38" s="36" t="str">
        <x:v>I1</x:v>
      </x:c>
      <x:c r="B38" s="37" t="str">
        <x:v>Improve the MVP using midterm review feedback</x:v>
      </x:c>
      <x:c r="C38" s="37" t="str">
        <x:v>All four</x:v>
      </x:c>
      <x:c r="D38" s="36" t="str">
        <x:v>Planned</x:v>
      </x:c>
      <x:c r="E38" s="38" t="n">
        <x:f>MAX('Sources'!$C$7:$C$8)+1</x:f>
        <x:v>46324</x:v>
      </x:c>
      <x:c r="F38" s="38" t="n">
        <x:f>'Sources'!$C$9</x:f>
        <x:v>46328</x:v>
      </x:c>
      <x:c r="G38" s="36" t="n">
        <x:f>IF(OR(E38="",F38="",I38="Either date"),"",IF(F38&lt;E38,"Review",F38-E38+1))</x:f>
        <x:v>5</x:v>
      </x:c>
      <x:c r="H38" s="37" t="str">
        <x:v>C9 / C10 review</x:v>
      </x:c>
      <x:c r="I38" s="37" t="str">
        <x:v>Window</x:v>
      </x:c>
      <x:c r="J38" s="35" t="str">
        <x:f>IF(OR($E38="",$F38=""),"",IF($I38="Either date",IF(OR(AND(J$15&lt;=$E38,J$15+6&gt;=$E38),AND(J$15&lt;=$F38,J$15+6&gt;=$F38)),3,""),IF(AND(J$15&lt;=$F38,J$15+6&gt;=$E38),IF($I38="Milestone",IF(AND(OR($D38="Complete",$D38="Submitted"),$F38&gt;Sources!$C$5),"T",2),IF(AND(OR($D38="Complete",$D38="Submitted"),J$15&gt;Sources!$C$5),4,1)),"")))</x:f>
      </x:c>
      <x:c r="K38" s="35" t="str">
        <x:f>IF(OR($E38="",$F38=""),"",IF($I38="Either date",IF(OR(AND(K$15&lt;=$E38,K$15+6&gt;=$E38),AND(K$15&lt;=$F38,K$15+6&gt;=$F38)),3,""),IF(AND(K$15&lt;=$F38,K$15+6&gt;=$E38),IF($I38="Milestone",IF(AND(OR($D38="Complete",$D38="Submitted"),$F38&gt;Sources!$C$5),"T",2),IF(AND(OR($D38="Complete",$D38="Submitted"),K$15&gt;Sources!$C$5),4,1)),"")))</x:f>
      </x:c>
      <x:c r="L38" s="35" t="str">
        <x:f>IF(OR($E38="",$F38=""),"",IF($I38="Either date",IF(OR(AND(L$15&lt;=$E38,L$15+6&gt;=$E38),AND(L$15&lt;=$F38,L$15+6&gt;=$F38)),3,""),IF(AND(L$15&lt;=$F38,L$15+6&gt;=$E38),IF($I38="Milestone",IF(AND(OR($D38="Complete",$D38="Submitted"),$F38&gt;Sources!$C$5),"T",2),IF(AND(OR($D38="Complete",$D38="Submitted"),L$15&gt;Sources!$C$5),4,1)),"")))</x:f>
      </x:c>
      <x:c r="M38" s="35" t="str">
        <x:f>IF(OR($E38="",$F38=""),"",IF($I38="Either date",IF(OR(AND(M$15&lt;=$E38,M$15+6&gt;=$E38),AND(M$15&lt;=$F38,M$15+6&gt;=$F38)),3,""),IF(AND(M$15&lt;=$F38,M$15+6&gt;=$E38),IF($I38="Milestone",IF(AND(OR($D38="Complete",$D38="Submitted"),$F38&gt;Sources!$C$5),"T",2),IF(AND(OR($D38="Complete",$D38="Submitted"),M$15&gt;Sources!$C$5),4,1)),"")))</x:f>
      </x:c>
      <x:c r="N38" s="35" t="n">
        <x:f>IF(OR($E38="",$F38=""),"",IF($I38="Either date",IF(OR(AND(N$15&lt;=$E38,N$15+6&gt;=$E38),AND(N$15&lt;=$F38,N$15+6&gt;=$F38)),3,""),IF(AND(N$15&lt;=$F38,N$15+6&gt;=$E38),IF($I38="Milestone",IF(AND(OR($D38="Complete",$D38="Submitted"),$F38&gt;Sources!$C$5),"T",2),IF(AND(OR($D38="Complete",$D38="Submitted"),N$15&gt;Sources!$C$5),4,1)),"")))</x:f>
        <x:v>1</x:v>
      </x:c>
      <x:c r="O38" s="35" t="n">
        <x:f>IF(OR($E38="",$F38=""),"",IF($I38="Either date",IF(OR(AND(O$15&lt;=$E38,O$15+6&gt;=$E38),AND(O$15&lt;=$F38,O$15+6&gt;=$F38)),3,""),IF(AND(O$15&lt;=$F38,O$15+6&gt;=$E38),IF($I38="Milestone",IF(AND(OR($D38="Complete",$D38="Submitted"),$F38&gt;Sources!$C$5),"T",2),IF(AND(OR($D38="Complete",$D38="Submitted"),O$15&gt;Sources!$C$5),4,1)),"")))</x:f>
        <x:v>1</x:v>
      </x:c>
      <x:c r="P38" s="35" t="str">
        <x:f>IF(OR($E38="",$F38=""),"",IF($I38="Either date",IF(OR(AND(P$15&lt;=$E38,P$15+6&gt;=$E38),AND(P$15&lt;=$F38,P$15+6&gt;=$F38)),3,""),IF(AND(P$15&lt;=$F38,P$15+6&gt;=$E38),IF($I38="Milestone",IF(AND(OR($D38="Complete",$D38="Submitted"),$F38&gt;Sources!$C$5),"T",2),IF(AND(OR($D38="Complete",$D38="Submitted"),P$15&gt;Sources!$C$5),4,1)),"")))</x:f>
      </x:c>
      <x:c r="Q38" s="35" t="str">
        <x:f>IF(OR($E38="",$F38=""),"",IF($I38="Either date",IF(OR(AND(Q$15&lt;=$E38,Q$15+6&gt;=$E38),AND(Q$15&lt;=$F38,Q$15+6&gt;=$F38)),3,""),IF(AND(Q$15&lt;=$F38,Q$15+6&gt;=$E38),IF($I38="Milestone",IF(AND(OR($D38="Complete",$D38="Submitted"),$F38&gt;Sources!$C$5),"T",2),IF(AND(OR($D38="Complete",$D38="Submitted"),Q$15&gt;Sources!$C$5),4,1)),"")))</x:f>
      </x:c>
      <x:c r="R38" s="35" t="str">
        <x:f>IF(OR($E38="",$F38=""),"",IF($I38="Either date",IF(OR(AND(R$15&lt;=$E38,R$15+6&gt;=$E38),AND(R$15&lt;=$F38,R$15+6&gt;=$F38)),3,""),IF(AND(R$15&lt;=$F38,R$15+6&gt;=$E38),IF($I38="Milestone",IF(AND(OR($D38="Complete",$D38="Submitted"),$F38&gt;Sources!$C$5),"T",2),IF(AND(OR($D38="Complete",$D38="Submitted"),R$15&gt;Sources!$C$5),4,1)),"")))</x:f>
      </x:c>
      <x:c r="S38" s="35" t="str">
        <x:f>IF(OR($E38="",$F38=""),"",IF($I38="Either date",IF(OR(AND(S$15&lt;=$E38,S$15+6&gt;=$E38),AND(S$15&lt;=$F38,S$15+6&gt;=$F38)),3,""),IF(AND(S$15&lt;=$F38,S$15+6&gt;=$E38),IF($I38="Milestone",IF(AND(OR($D38="Complete",$D38="Submitted"),$F38&gt;Sources!$C$5),"T",2),IF(AND(OR($D38="Complete",$D38="Submitted"),S$15&gt;Sources!$C$5),4,1)),"")))</x:f>
      </x:c>
      <x:c r="T38" s="35" t="str">
        <x:f>IF(OR($E38="",$F38=""),"",IF($I38="Either date",IF(OR(AND(T$15&lt;=$E38,T$15+6&gt;=$E38),AND(T$15&lt;=$F38,T$15+6&gt;=$F38)),3,""),IF(AND(T$15&lt;=$F38,T$15+6&gt;=$E38),IF($I38="Milestone",IF(AND(OR($D38="Complete",$D38="Submitted"),$F38&gt;Sources!$C$5),"T",2),IF(AND(OR($D38="Complete",$D38="Submitted"),T$15&gt;Sources!$C$5),4,1)),"")))</x:f>
      </x:c>
      <x:c r="U38" s="2"/>
      <x:c r="V38" s="2" t="str">
        <x:v>Plan from the later possible review date. The MVP must show improvement beyond the midterm prototype.</x:v>
      </x:c>
      <x:c r="W38" s="18" t="str">
        <x:v>All FS / TS</x:v>
      </x:c>
      <x:c r="X38" s="18" t="str">
        <x:v>MVP brief; Week 9 dates</x:v>
      </x:c>
    </x:row>
    <x:row r="39" ht="38" customHeight="1">
      <x:c r="A39" s="2" t="str">
        <x:v>I2</x:v>
      </x:c>
      <x:c r="B39" s="18" t="str">
        <x:v>Prepare the MVP for repeatable tests</x:v>
      </x:c>
      <x:c r="C39" s="18" t="str">
        <x:v>All four</x:v>
      </x:c>
      <x:c r="D39" s="2" t="str">
        <x:v>Planned</x:v>
      </x:c>
      <x:c r="E39" s="15" t="n">
        <x:f>MAX('Sources'!$C$7:$C$8)+1</x:f>
        <x:v>46324</x:v>
      </x:c>
      <x:c r="F39" s="15" t="n">
        <x:f>'Sources'!$C$9</x:f>
        <x:v>46328</x:v>
      </x:c>
      <x:c r="G39" s="2" t="n">
        <x:f>IF(OR(E39="",F39="",I39="Either date"),"",IF(F39&lt;E39,"Review",F39-E39+1))</x:f>
        <x:v>5</x:v>
      </x:c>
      <x:c r="H39" s="18" t="str">
        <x:v>I1 as changes available</x:v>
      </x:c>
      <x:c r="I39" s="18" t="str">
        <x:v>Window</x:v>
      </x:c>
      <x:c r="J39" s="35" t="str">
        <x:f>IF(OR($E39="",$F39=""),"",IF($I39="Either date",IF(OR(AND(J$15&lt;=$E39,J$15+6&gt;=$E39),AND(J$15&lt;=$F39,J$15+6&gt;=$F39)),3,""),IF(AND(J$15&lt;=$F39,J$15+6&gt;=$E39),IF($I39="Milestone",IF(AND(OR($D39="Complete",$D39="Submitted"),$F39&gt;Sources!$C$5),"T",2),IF(AND(OR($D39="Complete",$D39="Submitted"),J$15&gt;Sources!$C$5),4,1)),"")))</x:f>
      </x:c>
      <x:c r="K39" s="35" t="str">
        <x:f>IF(OR($E39="",$F39=""),"",IF($I39="Either date",IF(OR(AND(K$15&lt;=$E39,K$15+6&gt;=$E39),AND(K$15&lt;=$F39,K$15+6&gt;=$F39)),3,""),IF(AND(K$15&lt;=$F39,K$15+6&gt;=$E39),IF($I39="Milestone",IF(AND(OR($D39="Complete",$D39="Submitted"),$F39&gt;Sources!$C$5),"T",2),IF(AND(OR($D39="Complete",$D39="Submitted"),K$15&gt;Sources!$C$5),4,1)),"")))</x:f>
      </x:c>
      <x:c r="L39" s="35" t="str">
        <x:f>IF(OR($E39="",$F39=""),"",IF($I39="Either date",IF(OR(AND(L$15&lt;=$E39,L$15+6&gt;=$E39),AND(L$15&lt;=$F39,L$15+6&gt;=$F39)),3,""),IF(AND(L$15&lt;=$F39,L$15+6&gt;=$E39),IF($I39="Milestone",IF(AND(OR($D39="Complete",$D39="Submitted"),$F39&gt;Sources!$C$5),"T",2),IF(AND(OR($D39="Complete",$D39="Submitted"),L$15&gt;Sources!$C$5),4,1)),"")))</x:f>
      </x:c>
      <x:c r="M39" s="35" t="str">
        <x:f>IF(OR($E39="",$F39=""),"",IF($I39="Either date",IF(OR(AND(M$15&lt;=$E39,M$15+6&gt;=$E39),AND(M$15&lt;=$F39,M$15+6&gt;=$F39)),3,""),IF(AND(M$15&lt;=$F39,M$15+6&gt;=$E39),IF($I39="Milestone",IF(AND(OR($D39="Complete",$D39="Submitted"),$F39&gt;Sources!$C$5),"T",2),IF(AND(OR($D39="Complete",$D39="Submitted"),M$15&gt;Sources!$C$5),4,1)),"")))</x:f>
      </x:c>
      <x:c r="N39" s="35" t="n">
        <x:f>IF(OR($E39="",$F39=""),"",IF($I39="Either date",IF(OR(AND(N$15&lt;=$E39,N$15+6&gt;=$E39),AND(N$15&lt;=$F39,N$15+6&gt;=$F39)),3,""),IF(AND(N$15&lt;=$F39,N$15+6&gt;=$E39),IF($I39="Milestone",IF(AND(OR($D39="Complete",$D39="Submitted"),$F39&gt;Sources!$C$5),"T",2),IF(AND(OR($D39="Complete",$D39="Submitted"),N$15&gt;Sources!$C$5),4,1)),"")))</x:f>
        <x:v>1</x:v>
      </x:c>
      <x:c r="O39" s="35" t="n">
        <x:f>IF(OR($E39="",$F39=""),"",IF($I39="Either date",IF(OR(AND(O$15&lt;=$E39,O$15+6&gt;=$E39),AND(O$15&lt;=$F39,O$15+6&gt;=$F39)),3,""),IF(AND(O$15&lt;=$F39,O$15+6&gt;=$E39),IF($I39="Milestone",IF(AND(OR($D39="Complete",$D39="Submitted"),$F39&gt;Sources!$C$5),"T",2),IF(AND(OR($D39="Complete",$D39="Submitted"),O$15&gt;Sources!$C$5),4,1)),"")))</x:f>
        <x:v>1</x:v>
      </x:c>
      <x:c r="P39" s="35" t="str">
        <x:f>IF(OR($E39="",$F39=""),"",IF($I39="Either date",IF(OR(AND(P$15&lt;=$E39,P$15+6&gt;=$E39),AND(P$15&lt;=$F39,P$15+6&gt;=$F39)),3,""),IF(AND(P$15&lt;=$F39,P$15+6&gt;=$E39),IF($I39="Milestone",IF(AND(OR($D39="Complete",$D39="Submitted"),$F39&gt;Sources!$C$5),"T",2),IF(AND(OR($D39="Complete",$D39="Submitted"),P$15&gt;Sources!$C$5),4,1)),"")))</x:f>
      </x:c>
      <x:c r="Q39" s="35" t="str">
        <x:f>IF(OR($E39="",$F39=""),"",IF($I39="Either date",IF(OR(AND(Q$15&lt;=$E39,Q$15+6&gt;=$E39),AND(Q$15&lt;=$F39,Q$15+6&gt;=$F39)),3,""),IF(AND(Q$15&lt;=$F39,Q$15+6&gt;=$E39),IF($I39="Milestone",IF(AND(OR($D39="Complete",$D39="Submitted"),$F39&gt;Sources!$C$5),"T",2),IF(AND(OR($D39="Complete",$D39="Submitted"),Q$15&gt;Sources!$C$5),4,1)),"")))</x:f>
      </x:c>
      <x:c r="R39" s="35" t="str">
        <x:f>IF(OR($E39="",$F39=""),"",IF($I39="Either date",IF(OR(AND(R$15&lt;=$E39,R$15+6&gt;=$E39),AND(R$15&lt;=$F39,R$15+6&gt;=$F39)),3,""),IF(AND(R$15&lt;=$F39,R$15+6&gt;=$E39),IF($I39="Milestone",IF(AND(OR($D39="Complete",$D39="Submitted"),$F39&gt;Sources!$C$5),"T",2),IF(AND(OR($D39="Complete",$D39="Submitted"),R$15&gt;Sources!$C$5),4,1)),"")))</x:f>
      </x:c>
      <x:c r="S39" s="35" t="str">
        <x:f>IF(OR($E39="",$F39=""),"",IF($I39="Either date",IF(OR(AND(S$15&lt;=$E39,S$15+6&gt;=$E39),AND(S$15&lt;=$F39,S$15+6&gt;=$F39)),3,""),IF(AND(S$15&lt;=$F39,S$15+6&gt;=$E39),IF($I39="Milestone",IF(AND(OR($D39="Complete",$D39="Submitted"),$F39&gt;Sources!$C$5),"T",2),IF(AND(OR($D39="Complete",$D39="Submitted"),S$15&gt;Sources!$C$5),4,1)),"")))</x:f>
      </x:c>
      <x:c r="T39" s="35" t="str">
        <x:f>IF(OR($E39="",$F39=""),"",IF($I39="Either date",IF(OR(AND(T$15&lt;=$E39,T$15+6&gt;=$E39),AND(T$15&lt;=$F39,T$15+6&gt;=$F39)),3,""),IF(AND(T$15&lt;=$F39,T$15+6&gt;=$E39),IF($I39="Milestone",IF(AND(OR($D39="Complete",$D39="Submitted"),$F39&gt;Sources!$C$5),"T",2),IF(AND(OR($D39="Complete",$D39="Submitted"),T$15&gt;Sources!$C$5),4,1)),"")))</x:f>
      </x:c>
      <x:c r="U39" s="2"/>
      <x:c r="V39" s="2" t="str">
        <x:v>Use refinement results to define and try a repeatable test for at least one requirement, with data records.</x:v>
      </x:c>
      <x:c r="W39" s="18" t="str">
        <x:v>All FS / TS</x:v>
      </x:c>
      <x:c r="X39" s="18" t="str">
        <x:v>MVP brief; Week 9 dates</x:v>
      </x:c>
    </x:row>
    <x:row r="40" ht="38" customHeight="1">
      <x:c r="A40" s="36" t="str">
        <x:v>I3</x:v>
      </x:c>
      <x:c r="B40" s="37" t="str">
        <x:v>Record interim MVP progress for the course check-in</x:v>
      </x:c>
      <x:c r="C40" s="37" t="str">
        <x:v>All four</x:v>
      </x:c>
      <x:c r="D40" s="36" t="str">
        <x:v>Planned</x:v>
      </x:c>
      <x:c r="E40" s="38" t="n">
        <x:f>MAX('Sources'!$C$7:$C$8)+1</x:f>
        <x:v>46324</x:v>
      </x:c>
      <x:c r="F40" s="38" t="n">
        <x:f>'Sources'!$C$10</x:f>
        <x:v>46325</x:v>
      </x:c>
      <x:c r="G40" s="36" t="n">
        <x:f>IF(OR(E40="",F40="",I40="Either date"),"",IF(F40&lt;E40,"Review",F40-E40+1))</x:f>
        <x:v>2</x:v>
      </x:c>
      <x:c r="H40" s="37" t="str">
        <x:v>I1 / I2 progress</x:v>
      </x:c>
      <x:c r="I40" s="37" t="str">
        <x:v>Window</x:v>
      </x:c>
      <x:c r="J40" s="35" t="str">
        <x:f>IF(OR($E40="",$F40=""),"",IF($I40="Either date",IF(OR(AND(J$15&lt;=$E40,J$15+6&gt;=$E40),AND(J$15&lt;=$F40,J$15+6&gt;=$F40)),3,""),IF(AND(J$15&lt;=$F40,J$15+6&gt;=$E40),IF($I40="Milestone",IF(AND(OR($D40="Complete",$D40="Submitted"),$F40&gt;Sources!$C$5),"T",2),IF(AND(OR($D40="Complete",$D40="Submitted"),J$15&gt;Sources!$C$5),4,1)),"")))</x:f>
      </x:c>
      <x:c r="K40" s="35" t="str">
        <x:f>IF(OR($E40="",$F40=""),"",IF($I40="Either date",IF(OR(AND(K$15&lt;=$E40,K$15+6&gt;=$E40),AND(K$15&lt;=$F40,K$15+6&gt;=$F40)),3,""),IF(AND(K$15&lt;=$F40,K$15+6&gt;=$E40),IF($I40="Milestone",IF(AND(OR($D40="Complete",$D40="Submitted"),$F40&gt;Sources!$C$5),"T",2),IF(AND(OR($D40="Complete",$D40="Submitted"),K$15&gt;Sources!$C$5),4,1)),"")))</x:f>
      </x:c>
      <x:c r="L40" s="35" t="str">
        <x:f>IF(OR($E40="",$F40=""),"",IF($I40="Either date",IF(OR(AND(L$15&lt;=$E40,L$15+6&gt;=$E40),AND(L$15&lt;=$F40,L$15+6&gt;=$F40)),3,""),IF(AND(L$15&lt;=$F40,L$15+6&gt;=$E40),IF($I40="Milestone",IF(AND(OR($D40="Complete",$D40="Submitted"),$F40&gt;Sources!$C$5),"T",2),IF(AND(OR($D40="Complete",$D40="Submitted"),L$15&gt;Sources!$C$5),4,1)),"")))</x:f>
      </x:c>
      <x:c r="M40" s="35" t="str">
        <x:f>IF(OR($E40="",$F40=""),"",IF($I40="Either date",IF(OR(AND(M$15&lt;=$E40,M$15+6&gt;=$E40),AND(M$15&lt;=$F40,M$15+6&gt;=$F40)),3,""),IF(AND(M$15&lt;=$F40,M$15+6&gt;=$E40),IF($I40="Milestone",IF(AND(OR($D40="Complete",$D40="Submitted"),$F40&gt;Sources!$C$5),"T",2),IF(AND(OR($D40="Complete",$D40="Submitted"),M$15&gt;Sources!$C$5),4,1)),"")))</x:f>
      </x:c>
      <x:c r="N40" s="35" t="n">
        <x:f>IF(OR($E40="",$F40=""),"",IF($I40="Either date",IF(OR(AND(N$15&lt;=$E40,N$15+6&gt;=$E40),AND(N$15&lt;=$F40,N$15+6&gt;=$F40)),3,""),IF(AND(N$15&lt;=$F40,N$15+6&gt;=$E40),IF($I40="Milestone",IF(AND(OR($D40="Complete",$D40="Submitted"),$F40&gt;Sources!$C$5),"T",2),IF(AND(OR($D40="Complete",$D40="Submitted"),N$15&gt;Sources!$C$5),4,1)),"")))</x:f>
        <x:v>1</x:v>
      </x:c>
      <x:c r="O40" s="35" t="str">
        <x:f>IF(OR($E40="",$F40=""),"",IF($I40="Either date",IF(OR(AND(O$15&lt;=$E40,O$15+6&gt;=$E40),AND(O$15&lt;=$F40,O$15+6&gt;=$F40)),3,""),IF(AND(O$15&lt;=$F40,O$15+6&gt;=$E40),IF($I40="Milestone",IF(AND(OR($D40="Complete",$D40="Submitted"),$F40&gt;Sources!$C$5),"T",2),IF(AND(OR($D40="Complete",$D40="Submitted"),O$15&gt;Sources!$C$5),4,1)),"")))</x:f>
      </x:c>
      <x:c r="P40" s="35" t="str">
        <x:f>IF(OR($E40="",$F40=""),"",IF($I40="Either date",IF(OR(AND(P$15&lt;=$E40,P$15+6&gt;=$E40),AND(P$15&lt;=$F40,P$15+6&gt;=$F40)),3,""),IF(AND(P$15&lt;=$F40,P$15+6&gt;=$E40),IF($I40="Milestone",IF(AND(OR($D40="Complete",$D40="Submitted"),$F40&gt;Sources!$C$5),"T",2),IF(AND(OR($D40="Complete",$D40="Submitted"),P$15&gt;Sources!$C$5),4,1)),"")))</x:f>
      </x:c>
      <x:c r="Q40" s="35" t="str">
        <x:f>IF(OR($E40="",$F40=""),"",IF($I40="Either date",IF(OR(AND(Q$15&lt;=$E40,Q$15+6&gt;=$E40),AND(Q$15&lt;=$F40,Q$15+6&gt;=$F40)),3,""),IF(AND(Q$15&lt;=$F40,Q$15+6&gt;=$E40),IF($I40="Milestone",IF(AND(OR($D40="Complete",$D40="Submitted"),$F40&gt;Sources!$C$5),"T",2),IF(AND(OR($D40="Complete",$D40="Submitted"),Q$15&gt;Sources!$C$5),4,1)),"")))</x:f>
      </x:c>
      <x:c r="R40" s="35" t="str">
        <x:f>IF(OR($E40="",$F40=""),"",IF($I40="Either date",IF(OR(AND(R$15&lt;=$E40,R$15+6&gt;=$E40),AND(R$15&lt;=$F40,R$15+6&gt;=$F40)),3,""),IF(AND(R$15&lt;=$F40,R$15+6&gt;=$E40),IF($I40="Milestone",IF(AND(OR($D40="Complete",$D40="Submitted"),$F40&gt;Sources!$C$5),"T",2),IF(AND(OR($D40="Complete",$D40="Submitted"),R$15&gt;Sources!$C$5),4,1)),"")))</x:f>
      </x:c>
      <x:c r="S40" s="35" t="str">
        <x:f>IF(OR($E40="",$F40=""),"",IF($I40="Either date",IF(OR(AND(S$15&lt;=$E40,S$15+6&gt;=$E40),AND(S$15&lt;=$F40,S$15+6&gt;=$F40)),3,""),IF(AND(S$15&lt;=$F40,S$15+6&gt;=$E40),IF($I40="Milestone",IF(AND(OR($D40="Complete",$D40="Submitted"),$F40&gt;Sources!$C$5),"T",2),IF(AND(OR($D40="Complete",$D40="Submitted"),S$15&gt;Sources!$C$5),4,1)),"")))</x:f>
      </x:c>
      <x:c r="T40" s="35" t="str">
        <x:f>IF(OR($E40="",$F40=""),"",IF($I40="Either date",IF(OR(AND(T$15&lt;=$E40,T$15+6&gt;=$E40),AND(T$15&lt;=$F40,T$15+6&gt;=$F40)),3,""),IF(AND(T$15&lt;=$F40,T$15+6&gt;=$E40),IF($I40="Milestone",IF(AND(OR($D40="Complete",$D40="Submitted"),$F40&gt;Sources!$C$5),"T",2),IF(AND(OR($D40="Complete",$D40="Submitted"),T$15&gt;Sources!$C$5),4,1)),"")))</x:f>
      </x:c>
      <x:c r="U40" s="2"/>
      <x:c r="V40" s="2" t="str">
        <x:v>Report improvements available at the interim check-in. Final MVP readiness is a later target.</x:v>
      </x:c>
      <x:c r="W40" s="18" t="str">
        <x:v>All FS / TS</x:v>
      </x:c>
      <x:c r="X40" s="18" t="str">
        <x:v>Submitted Gantt; Week 9 dates</x:v>
      </x:c>
    </x:row>
    <x:row r="41" ht="38" customHeight="1">
      <x:c r="A41" s="2" t="str">
        <x:v>I4</x:v>
      </x:c>
      <x:c r="B41" s="18" t="str">
        <x:v>Prepare final MVP evidence, short description and roles</x:v>
      </x:c>
      <x:c r="C41" s="18" t="str">
        <x:v>All four</x:v>
      </x:c>
      <x:c r="D41" s="2" t="str">
        <x:v>Planned</x:v>
      </x:c>
      <x:c r="E41" s="15" t="n">
        <x:f>MAX('Sources'!$C$7:$C$8)+1</x:f>
        <x:v>46324</x:v>
      </x:c>
      <x:c r="F41" s="15" t="n">
        <x:f>'Sources'!$C$9</x:f>
        <x:v>46328</x:v>
      </x:c>
      <x:c r="G41" s="2" t="n">
        <x:f>IF(OR(E41="",F41="",I41="Either date"),"",IF(F41&lt;E41,"Review",F41-E41+1))</x:f>
        <x:v>5</x:v>
      </x:c>
      <x:c r="H41" s="18" t="str">
        <x:v>I1 / I2 findings</x:v>
      </x:c>
      <x:c r="I41" s="18" t="str">
        <x:v>Window</x:v>
      </x:c>
      <x:c r="J41" s="35" t="str">
        <x:f>IF(OR($E41="",$F41=""),"",IF($I41="Either date",IF(OR(AND(J$15&lt;=$E41,J$15+6&gt;=$E41),AND(J$15&lt;=$F41,J$15+6&gt;=$F41)),3,""),IF(AND(J$15&lt;=$F41,J$15+6&gt;=$E41),IF($I41="Milestone",IF(AND(OR($D41="Complete",$D41="Submitted"),$F41&gt;Sources!$C$5),"T",2),IF(AND(OR($D41="Complete",$D41="Submitted"),J$15&gt;Sources!$C$5),4,1)),"")))</x:f>
      </x:c>
      <x:c r="K41" s="35" t="str">
        <x:f>IF(OR($E41="",$F41=""),"",IF($I41="Either date",IF(OR(AND(K$15&lt;=$E41,K$15+6&gt;=$E41),AND(K$15&lt;=$F41,K$15+6&gt;=$F41)),3,""),IF(AND(K$15&lt;=$F41,K$15+6&gt;=$E41),IF($I41="Milestone",IF(AND(OR($D41="Complete",$D41="Submitted"),$F41&gt;Sources!$C$5),"T",2),IF(AND(OR($D41="Complete",$D41="Submitted"),K$15&gt;Sources!$C$5),4,1)),"")))</x:f>
      </x:c>
      <x:c r="L41" s="35" t="str">
        <x:f>IF(OR($E41="",$F41=""),"",IF($I41="Either date",IF(OR(AND(L$15&lt;=$E41,L$15+6&gt;=$E41),AND(L$15&lt;=$F41,L$15+6&gt;=$F41)),3,""),IF(AND(L$15&lt;=$F41,L$15+6&gt;=$E41),IF($I41="Milestone",IF(AND(OR($D41="Complete",$D41="Submitted"),$F41&gt;Sources!$C$5),"T",2),IF(AND(OR($D41="Complete",$D41="Submitted"),L$15&gt;Sources!$C$5),4,1)),"")))</x:f>
      </x:c>
      <x:c r="M41" s="35" t="str">
        <x:f>IF(OR($E41="",$F41=""),"",IF($I41="Either date",IF(OR(AND(M$15&lt;=$E41,M$15+6&gt;=$E41),AND(M$15&lt;=$F41,M$15+6&gt;=$F41)),3,""),IF(AND(M$15&lt;=$F41,M$15+6&gt;=$E41),IF($I41="Milestone",IF(AND(OR($D41="Complete",$D41="Submitted"),$F41&gt;Sources!$C$5),"T",2),IF(AND(OR($D41="Complete",$D41="Submitted"),M$15&gt;Sources!$C$5),4,1)),"")))</x:f>
      </x:c>
      <x:c r="N41" s="35" t="n">
        <x:f>IF(OR($E41="",$F41=""),"",IF($I41="Either date",IF(OR(AND(N$15&lt;=$E41,N$15+6&gt;=$E41),AND(N$15&lt;=$F41,N$15+6&gt;=$F41)),3,""),IF(AND(N$15&lt;=$F41,N$15+6&gt;=$E41),IF($I41="Milestone",IF(AND(OR($D41="Complete",$D41="Submitted"),$F41&gt;Sources!$C$5),"T",2),IF(AND(OR($D41="Complete",$D41="Submitted"),N$15&gt;Sources!$C$5),4,1)),"")))</x:f>
        <x:v>1</x:v>
      </x:c>
      <x:c r="O41" s="35" t="n">
        <x:f>IF(OR($E41="",$F41=""),"",IF($I41="Either date",IF(OR(AND(O$15&lt;=$E41,O$15+6&gt;=$E41),AND(O$15&lt;=$F41,O$15+6&gt;=$F41)),3,""),IF(AND(O$15&lt;=$F41,O$15+6&gt;=$E41),IF($I41="Milestone",IF(AND(OR($D41="Complete",$D41="Submitted"),$F41&gt;Sources!$C$5),"T",2),IF(AND(OR($D41="Complete",$D41="Submitted"),O$15&gt;Sources!$C$5),4,1)),"")))</x:f>
        <x:v>1</x:v>
      </x:c>
      <x:c r="P41" s="35" t="str">
        <x:f>IF(OR($E41="",$F41=""),"",IF($I41="Either date",IF(OR(AND(P$15&lt;=$E41,P$15+6&gt;=$E41),AND(P$15&lt;=$F41,P$15+6&gt;=$F41)),3,""),IF(AND(P$15&lt;=$F41,P$15+6&gt;=$E41),IF($I41="Milestone",IF(AND(OR($D41="Complete",$D41="Submitted"),$F41&gt;Sources!$C$5),"T",2),IF(AND(OR($D41="Complete",$D41="Submitted"),P$15&gt;Sources!$C$5),4,1)),"")))</x:f>
      </x:c>
      <x:c r="Q41" s="35" t="str">
        <x:f>IF(OR($E41="",$F41=""),"",IF($I41="Either date",IF(OR(AND(Q$15&lt;=$E41,Q$15+6&gt;=$E41),AND(Q$15&lt;=$F41,Q$15+6&gt;=$F41)),3,""),IF(AND(Q$15&lt;=$F41,Q$15+6&gt;=$E41),IF($I41="Milestone",IF(AND(OR($D41="Complete",$D41="Submitted"),$F41&gt;Sources!$C$5),"T",2),IF(AND(OR($D41="Complete",$D41="Submitted"),Q$15&gt;Sources!$C$5),4,1)),"")))</x:f>
      </x:c>
      <x:c r="R41" s="35" t="str">
        <x:f>IF(OR($E41="",$F41=""),"",IF($I41="Either date",IF(OR(AND(R$15&lt;=$E41,R$15+6&gt;=$E41),AND(R$15&lt;=$F41,R$15+6&gt;=$F41)),3,""),IF(AND(R$15&lt;=$F41,R$15+6&gt;=$E41),IF($I41="Milestone",IF(AND(OR($D41="Complete",$D41="Submitted"),$F41&gt;Sources!$C$5),"T",2),IF(AND(OR($D41="Complete",$D41="Submitted"),R$15&gt;Sources!$C$5),4,1)),"")))</x:f>
      </x:c>
      <x:c r="S41" s="35" t="str">
        <x:f>IF(OR($E41="",$F41=""),"",IF($I41="Either date",IF(OR(AND(S$15&lt;=$E41,S$15+6&gt;=$E41),AND(S$15&lt;=$F41,S$15+6&gt;=$F41)),3,""),IF(AND(S$15&lt;=$F41,S$15+6&gt;=$E41),IF($I41="Milestone",IF(AND(OR($D41="Complete",$D41="Submitted"),$F41&gt;Sources!$C$5),"T",2),IF(AND(OR($D41="Complete",$D41="Submitted"),S$15&gt;Sources!$C$5),4,1)),"")))</x:f>
      </x:c>
      <x:c r="T41" s="35" t="str">
        <x:f>IF(OR($E41="",$F41=""),"",IF($I41="Either date",IF(OR(AND(T$15&lt;=$E41,T$15+6&gt;=$E41),AND(T$15&lt;=$F41,T$15+6&gt;=$F41)),3,""),IF(AND(T$15&lt;=$F41,T$15+6&gt;=$E41),IF($I41="Milestone",IF(AND(OR($D41="Complete",$D41="Submitted"),$F41&gt;Sources!$C$5),"T",2),IF(AND(OR($D41="Complete",$D41="Submitted"),T$15&gt;Sources!$C$5),4,1)),"")))</x:f>
      </x:c>
      <x:c r="U41" s="2"/>
      <x:c r="V41" s="2" t="str">
        <x:v>Include evidence, a 1–2-page description or equivalent, incorporated feedback, remaining risks, next tests and team responsibilities.</x:v>
      </x:c>
      <x:c r="W41" s="18" t="str"/>
      <x:c r="X41" s="18" t="str">
        <x:v>MVP brief, pp. 1–2</x:v>
      </x:c>
    </x:row>
    <x:row r="42" ht="38" customHeight="1">
      <x:c r="A42" s="36" t="str">
        <x:v>M4</x:v>
      </x:c>
      <x:c r="B42" s="37" t="str">
        <x:v>Improved MVP ready for submission</x:v>
      </x:c>
      <x:c r="C42" s="37" t="str">
        <x:v>All four</x:v>
      </x:c>
      <x:c r="D42" s="36" t="str">
        <x:v>Planned</x:v>
      </x:c>
      <x:c r="E42" s="38" t="n">
        <x:f>'Sources'!$C$9</x:f>
        <x:v>46328</x:v>
      </x:c>
      <x:c r="F42" s="38" t="n">
        <x:f>'Sources'!$C$9</x:f>
        <x:v>46328</x:v>
      </x:c>
      <x:c r="G42" s="36" t="n">
        <x:f>IF(OR(E42="",F42="",I42="Either date"),"",IF(F42&lt;E42,"Review",F42-E42+1))</x:f>
        <x:v>1</x:v>
      </x:c>
      <x:c r="H42" s="37" t="str">
        <x:v>I1, I2, I4</x:v>
      </x:c>
      <x:c r="I42" s="37" t="str">
        <x:v>Milestone</x:v>
      </x:c>
      <x:c r="J42" s="35" t="str">
        <x:f>IF(OR($E42="",$F42=""),"",IF($I42="Either date",IF(OR(AND(J$15&lt;=$E42,J$15+6&gt;=$E42),AND(J$15&lt;=$F42,J$15+6&gt;=$F42)),3,""),IF(AND(J$15&lt;=$F42,J$15+6&gt;=$E42),IF($I42="Milestone",IF(AND(OR($D42="Complete",$D42="Submitted"),$F42&gt;Sources!$C$5),"T",2),IF(AND(OR($D42="Complete",$D42="Submitted"),J$15&gt;Sources!$C$5),4,1)),"")))</x:f>
      </x:c>
      <x:c r="K42" s="35" t="str">
        <x:f>IF(OR($E42="",$F42=""),"",IF($I42="Either date",IF(OR(AND(K$15&lt;=$E42,K$15+6&gt;=$E42),AND(K$15&lt;=$F42,K$15+6&gt;=$F42)),3,""),IF(AND(K$15&lt;=$F42,K$15+6&gt;=$E42),IF($I42="Milestone",IF(AND(OR($D42="Complete",$D42="Submitted"),$F42&gt;Sources!$C$5),"T",2),IF(AND(OR($D42="Complete",$D42="Submitted"),K$15&gt;Sources!$C$5),4,1)),"")))</x:f>
      </x:c>
      <x:c r="L42" s="35" t="str">
        <x:f>IF(OR($E42="",$F42=""),"",IF($I42="Either date",IF(OR(AND(L$15&lt;=$E42,L$15+6&gt;=$E42),AND(L$15&lt;=$F42,L$15+6&gt;=$F42)),3,""),IF(AND(L$15&lt;=$F42,L$15+6&gt;=$E42),IF($I42="Milestone",IF(AND(OR($D42="Complete",$D42="Submitted"),$F42&gt;Sources!$C$5),"T",2),IF(AND(OR($D42="Complete",$D42="Submitted"),L$15&gt;Sources!$C$5),4,1)),"")))</x:f>
      </x:c>
      <x:c r="M42" s="35" t="str">
        <x:f>IF(OR($E42="",$F42=""),"",IF($I42="Either date",IF(OR(AND(M$15&lt;=$E42,M$15+6&gt;=$E42),AND(M$15&lt;=$F42,M$15+6&gt;=$F42)),3,""),IF(AND(M$15&lt;=$F42,M$15+6&gt;=$E42),IF($I42="Milestone",IF(AND(OR($D42="Complete",$D42="Submitted"),$F42&gt;Sources!$C$5),"T",2),IF(AND(OR($D42="Complete",$D42="Submitted"),M$15&gt;Sources!$C$5),4,1)),"")))</x:f>
      </x:c>
      <x:c r="N42" s="35" t="str">
        <x:f>IF(OR($E42="",$F42=""),"",IF($I42="Either date",IF(OR(AND(N$15&lt;=$E42,N$15+6&gt;=$E42),AND(N$15&lt;=$F42,N$15+6&gt;=$F42)),3,""),IF(AND(N$15&lt;=$F42,N$15+6&gt;=$E42),IF($I42="Milestone",IF(AND(OR($D42="Complete",$D42="Submitted"),$F42&gt;Sources!$C$5),"T",2),IF(AND(OR($D42="Complete",$D42="Submitted"),N$15&gt;Sources!$C$5),4,1)),"")))</x:f>
      </x:c>
      <x:c r="O42" s="35" t="n">
        <x:f>IF(OR($E42="",$F42=""),"",IF($I42="Either date",IF(OR(AND(O$15&lt;=$E42,O$15+6&gt;=$E42),AND(O$15&lt;=$F42,O$15+6&gt;=$F42)),3,""),IF(AND(O$15&lt;=$F42,O$15+6&gt;=$E42),IF($I42="Milestone",IF(AND(OR($D42="Complete",$D42="Submitted"),$F42&gt;Sources!$C$5),"T",2),IF(AND(OR($D42="Complete",$D42="Submitted"),O$15&gt;Sources!$C$5),4,1)),"")))</x:f>
        <x:v>2</x:v>
      </x:c>
      <x:c r="P42" s="35" t="str">
        <x:f>IF(OR($E42="",$F42=""),"",IF($I42="Either date",IF(OR(AND(P$15&lt;=$E42,P$15+6&gt;=$E42),AND(P$15&lt;=$F42,P$15+6&gt;=$F42)),3,""),IF(AND(P$15&lt;=$F42,P$15+6&gt;=$E42),IF($I42="Milestone",IF(AND(OR($D42="Complete",$D42="Submitted"),$F42&gt;Sources!$C$5),"T",2),IF(AND(OR($D42="Complete",$D42="Submitted"),P$15&gt;Sources!$C$5),4,1)),"")))</x:f>
      </x:c>
      <x:c r="Q42" s="35" t="str">
        <x:f>IF(OR($E42="",$F42=""),"",IF($I42="Either date",IF(OR(AND(Q$15&lt;=$E42,Q$15+6&gt;=$E42),AND(Q$15&lt;=$F42,Q$15+6&gt;=$F42)),3,""),IF(AND(Q$15&lt;=$F42,Q$15+6&gt;=$E42),IF($I42="Milestone",IF(AND(OR($D42="Complete",$D42="Submitted"),$F42&gt;Sources!$C$5),"T",2),IF(AND(OR($D42="Complete",$D42="Submitted"),Q$15&gt;Sources!$C$5),4,1)),"")))</x:f>
      </x:c>
      <x:c r="R42" s="35" t="str">
        <x:f>IF(OR($E42="",$F42=""),"",IF($I42="Either date",IF(OR(AND(R$15&lt;=$E42,R$15+6&gt;=$E42),AND(R$15&lt;=$F42,R$15+6&gt;=$F42)),3,""),IF(AND(R$15&lt;=$F42,R$15+6&gt;=$E42),IF($I42="Milestone",IF(AND(OR($D42="Complete",$D42="Submitted"),$F42&gt;Sources!$C$5),"T",2),IF(AND(OR($D42="Complete",$D42="Submitted"),R$15&gt;Sources!$C$5),4,1)),"")))</x:f>
      </x:c>
      <x:c r="S42" s="35" t="str">
        <x:f>IF(OR($E42="",$F42=""),"",IF($I42="Either date",IF(OR(AND(S$15&lt;=$E42,S$15+6&gt;=$E42),AND(S$15&lt;=$F42,S$15+6&gt;=$F42)),3,""),IF(AND(S$15&lt;=$F42,S$15+6&gt;=$E42),IF($I42="Milestone",IF(AND(OR($D42="Complete",$D42="Submitted"),$F42&gt;Sources!$C$5),"T",2),IF(AND(OR($D42="Complete",$D42="Submitted"),S$15&gt;Sources!$C$5),4,1)),"")))</x:f>
      </x:c>
      <x:c r="T42" s="35" t="str">
        <x:f>IF(OR($E42="",$F42=""),"",IF($I42="Either date",IF(OR(AND(T$15&lt;=$E42,T$15+6&gt;=$E42),AND(T$15&lt;=$F42,T$15+6&gt;=$F42)),3,""),IF(AND(T$15&lt;=$F42,T$15+6&gt;=$E42),IF($I42="Milestone",IF(AND(OR($D42="Complete",$D42="Submitted"),$F42&gt;Sources!$C$5),"T",2),IF(AND(OR($D42="Complete",$D42="Submitted"),T$15&gt;Sources!$C$5),4,1)),"")))</x:f>
      </x:c>
      <x:c r="U42" s="2"/>
      <x:c r="V42" s="2" t="str">
        <x:v>New or improved prototype with core operation and a usable data-collection method.</x:v>
      </x:c>
      <x:c r="W42" s="18" t="str">
        <x:v>All FS / TS</x:v>
      </x:c>
      <x:c r="X42" s="18" t="str">
        <x:v>MVP brief; Week 9 dates</x:v>
      </x:c>
    </x:row>
    <x:row r="43" ht="24" customHeight="1">
      <x:c r="A43" s="33" t="str">
        <x:v>Verification, validation and stakeholder follow-up</x:v>
      </x:c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2"/>
      <x:c r="V43" s="2"/>
      <x:c r="W43" s="18"/>
      <x:c r="X43" s="18"/>
    </x:row>
    <x:row r="44" ht="38" customHeight="1">
      <x:c r="A44" s="2" t="str">
        <x:v>V1</x:v>
      </x:c>
      <x:c r="B44" s="18" t="str">
        <x:v>Collect initial laboratory verification and validation data</x:v>
      </x:c>
      <x:c r="C44" s="18" t="str">
        <x:v>All four</x:v>
      </x:c>
      <x:c r="D44" s="2" t="str">
        <x:v>Planned</x:v>
      </x:c>
      <x:c r="E44" s="15" t="n">
        <x:f>'Sources'!$C$9+1</x:f>
        <x:v>46329</x:v>
      </x:c>
      <x:c r="F44" s="15" t="n">
        <x:f>'Sources'!$C$11-1</x:f>
        <x:v>46331</x:v>
      </x:c>
      <x:c r="G44" s="2" t="n">
        <x:f>IF(OR(E44="",F44="",I44="Either date"),"",IF(F44&lt;E44,"Review",F44-E44+1))</x:f>
        <x:v>3</x:v>
      </x:c>
      <x:c r="H44" s="18" t="str">
        <x:v>M4; R9 protocols</x:v>
      </x:c>
      <x:c r="I44" s="18" t="str">
        <x:v>Window</x:v>
      </x:c>
      <x:c r="J44" s="35" t="str">
        <x:f>IF(OR($E44="",$F44=""),"",IF($I44="Either date",IF(OR(AND(J$15&lt;=$E44,J$15+6&gt;=$E44),AND(J$15&lt;=$F44,J$15+6&gt;=$F44)),3,""),IF(AND(J$15&lt;=$F44,J$15+6&gt;=$E44),IF($I44="Milestone",IF(AND(OR($D44="Complete",$D44="Submitted"),$F44&gt;Sources!$C$5),"T",2),IF(AND(OR($D44="Complete",$D44="Submitted"),J$15&gt;Sources!$C$5),4,1)),"")))</x:f>
      </x:c>
      <x:c r="K44" s="35" t="str">
        <x:f>IF(OR($E44="",$F44=""),"",IF($I44="Either date",IF(OR(AND(K$15&lt;=$E44,K$15+6&gt;=$E44),AND(K$15&lt;=$F44,K$15+6&gt;=$F44)),3,""),IF(AND(K$15&lt;=$F44,K$15+6&gt;=$E44),IF($I44="Milestone",IF(AND(OR($D44="Complete",$D44="Submitted"),$F44&gt;Sources!$C$5),"T",2),IF(AND(OR($D44="Complete",$D44="Submitted"),K$15&gt;Sources!$C$5),4,1)),"")))</x:f>
      </x:c>
      <x:c r="L44" s="35" t="str">
        <x:f>IF(OR($E44="",$F44=""),"",IF($I44="Either date",IF(OR(AND(L$15&lt;=$E44,L$15+6&gt;=$E44),AND(L$15&lt;=$F44,L$15+6&gt;=$F44)),3,""),IF(AND(L$15&lt;=$F44,L$15+6&gt;=$E44),IF($I44="Milestone",IF(AND(OR($D44="Complete",$D44="Submitted"),$F44&gt;Sources!$C$5),"T",2),IF(AND(OR($D44="Complete",$D44="Submitted"),L$15&gt;Sources!$C$5),4,1)),"")))</x:f>
      </x:c>
      <x:c r="M44" s="35" t="str">
        <x:f>IF(OR($E44="",$F44=""),"",IF($I44="Either date",IF(OR(AND(M$15&lt;=$E44,M$15+6&gt;=$E44),AND(M$15&lt;=$F44,M$15+6&gt;=$F44)),3,""),IF(AND(M$15&lt;=$F44,M$15+6&gt;=$E44),IF($I44="Milestone",IF(AND(OR($D44="Complete",$D44="Submitted"),$F44&gt;Sources!$C$5),"T",2),IF(AND(OR($D44="Complete",$D44="Submitted"),M$15&gt;Sources!$C$5),4,1)),"")))</x:f>
      </x:c>
      <x:c r="N44" s="35" t="str">
        <x:f>IF(OR($E44="",$F44=""),"",IF($I44="Either date",IF(OR(AND(N$15&lt;=$E44,N$15+6&gt;=$E44),AND(N$15&lt;=$F44,N$15+6&gt;=$F44)),3,""),IF(AND(N$15&lt;=$F44,N$15+6&gt;=$E44),IF($I44="Milestone",IF(AND(OR($D44="Complete",$D44="Submitted"),$F44&gt;Sources!$C$5),"T",2),IF(AND(OR($D44="Complete",$D44="Submitted"),N$15&gt;Sources!$C$5),4,1)),"")))</x:f>
      </x:c>
      <x:c r="O44" s="35" t="n">
        <x:f>IF(OR($E44="",$F44=""),"",IF($I44="Either date",IF(OR(AND(O$15&lt;=$E44,O$15+6&gt;=$E44),AND(O$15&lt;=$F44,O$15+6&gt;=$F44)),3,""),IF(AND(O$15&lt;=$F44,O$15+6&gt;=$E44),IF($I44="Milestone",IF(AND(OR($D44="Complete",$D44="Submitted"),$F44&gt;Sources!$C$5),"T",2),IF(AND(OR($D44="Complete",$D44="Submitted"),O$15&gt;Sources!$C$5),4,1)),"")))</x:f>
        <x:v>1</x:v>
      </x:c>
      <x:c r="P44" s="35" t="str">
        <x:f>IF(OR($E44="",$F44=""),"",IF($I44="Either date",IF(OR(AND(P$15&lt;=$E44,P$15+6&gt;=$E44),AND(P$15&lt;=$F44,P$15+6&gt;=$F44)),3,""),IF(AND(P$15&lt;=$F44,P$15+6&gt;=$E44),IF($I44="Milestone",IF(AND(OR($D44="Complete",$D44="Submitted"),$F44&gt;Sources!$C$5),"T",2),IF(AND(OR($D44="Complete",$D44="Submitted"),P$15&gt;Sources!$C$5),4,1)),"")))</x:f>
      </x:c>
      <x:c r="Q44" s="35" t="str">
        <x:f>IF(OR($E44="",$F44=""),"",IF($I44="Either date",IF(OR(AND(Q$15&lt;=$E44,Q$15+6&gt;=$E44),AND(Q$15&lt;=$F44,Q$15+6&gt;=$F44)),3,""),IF(AND(Q$15&lt;=$F44,Q$15+6&gt;=$E44),IF($I44="Milestone",IF(AND(OR($D44="Complete",$D44="Submitted"),$F44&gt;Sources!$C$5),"T",2),IF(AND(OR($D44="Complete",$D44="Submitted"),Q$15&gt;Sources!$C$5),4,1)),"")))</x:f>
      </x:c>
      <x:c r="R44" s="35" t="str">
        <x:f>IF(OR($E44="",$F44=""),"",IF($I44="Either date",IF(OR(AND(R$15&lt;=$E44,R$15+6&gt;=$E44),AND(R$15&lt;=$F44,R$15+6&gt;=$F44)),3,""),IF(AND(R$15&lt;=$F44,R$15+6&gt;=$E44),IF($I44="Milestone",IF(AND(OR($D44="Complete",$D44="Submitted"),$F44&gt;Sources!$C$5),"T",2),IF(AND(OR($D44="Complete",$D44="Submitted"),R$15&gt;Sources!$C$5),4,1)),"")))</x:f>
      </x:c>
      <x:c r="S44" s="35" t="str">
        <x:f>IF(OR($E44="",$F44=""),"",IF($I44="Either date",IF(OR(AND(S$15&lt;=$E44,S$15+6&gt;=$E44),AND(S$15&lt;=$F44,S$15+6&gt;=$F44)),3,""),IF(AND(S$15&lt;=$F44,S$15+6&gt;=$E44),IF($I44="Milestone",IF(AND(OR($D44="Complete",$D44="Submitted"),$F44&gt;Sources!$C$5),"T",2),IF(AND(OR($D44="Complete",$D44="Submitted"),S$15&gt;Sources!$C$5),4,1)),"")))</x:f>
      </x:c>
      <x:c r="T44" s="35" t="str">
        <x:f>IF(OR($E44="",$F44=""),"",IF($I44="Either date",IF(OR(AND(T$15&lt;=$E44,T$15+6&gt;=$E44),AND(T$15&lt;=$F44,T$15+6&gt;=$F44)),3,""),IF(AND(T$15&lt;=$F44,T$15+6&gt;=$E44),IF($I44="Milestone",IF(AND(OR($D44="Complete",$D44="Submitted"),$F44&gt;Sources!$C$5),"T",2),IF(AND(OR($D44="Complete",$D44="Submitted"),T$15&gt;Sources!$C$5),4,1)),"")))</x:f>
      </x:c>
      <x:c r="U44" s="2"/>
      <x:c r="V44" s="2" t="str">
        <x:v>Settle V&amp;V protocols first. Collect initial lab data; field seed-loss and bird-feeding outcomes remain deferred.</x:v>
      </x:c>
      <x:c r="W44" s="18" t="str">
        <x:v>Lab checks linked to FS / TS</x:v>
      </x:c>
      <x:c r="X44" s="18" t="str">
        <x:v>V&amp;V plan; updated MVP date</x:v>
      </x:c>
    </x:row>
    <x:row r="45" ht="38" customHeight="1">
      <x:c r="A45" s="36" t="str">
        <x:v>V2</x:v>
      </x:c>
      <x:c r="B45" s="37" t="str">
        <x:v>Review fit and usability remotely with the stakeholder</x:v>
      </x:c>
      <x:c r="C45" s="37" t="str">
        <x:v>Joseph</x:v>
      </x:c>
      <x:c r="D45" s="36" t="str">
        <x:v>Unscheduled</x:v>
      </x:c>
      <x:c r="E45" s="38"/>
      <x:c r="F45" s="38"/>
      <x:c r="G45" s="36" t="str">
        <x:f>IF(OR(E45="",F45="",I45="Either date"),"",IF(F45&lt;E45,"Review",F45-E45+1))</x:f>
      </x:c>
      <x:c r="H45" s="37" t="str">
        <x:v>V3; current prototype evidence</x:v>
      </x:c>
      <x:c r="I45" s="37" t="str">
        <x:v>Window</x:v>
      </x:c>
      <x:c r="J45" s="35" t="str">
        <x:f>IF(OR($E45="",$F45=""),"",IF($I45="Either date",IF(OR(AND(J$15&lt;=$E45,J$15+6&gt;=$E45),AND(J$15&lt;=$F45,J$15+6&gt;=$F45)),3,""),IF(AND(J$15&lt;=$F45,J$15+6&gt;=$E45),IF($I45="Milestone",IF(AND(OR($D45="Complete",$D45="Submitted"),$F45&gt;Sources!$C$5),"T",2),IF(AND(OR($D45="Complete",$D45="Submitted"),J$15&gt;Sources!$C$5),4,1)),"")))</x:f>
      </x:c>
      <x:c r="K45" s="35" t="str">
        <x:f>IF(OR($E45="",$F45=""),"",IF($I45="Either date",IF(OR(AND(K$15&lt;=$E45,K$15+6&gt;=$E45),AND(K$15&lt;=$F45,K$15+6&gt;=$F45)),3,""),IF(AND(K$15&lt;=$F45,K$15+6&gt;=$E45),IF($I45="Milestone",IF(AND(OR($D45="Complete",$D45="Submitted"),$F45&gt;Sources!$C$5),"T",2),IF(AND(OR($D45="Complete",$D45="Submitted"),K$15&gt;Sources!$C$5),4,1)),"")))</x:f>
      </x:c>
      <x:c r="L45" s="35" t="str">
        <x:f>IF(OR($E45="",$F45=""),"",IF($I45="Either date",IF(OR(AND(L$15&lt;=$E45,L$15+6&gt;=$E45),AND(L$15&lt;=$F45,L$15+6&gt;=$F45)),3,""),IF(AND(L$15&lt;=$F45,L$15+6&gt;=$E45),IF($I45="Milestone",IF(AND(OR($D45="Complete",$D45="Submitted"),$F45&gt;Sources!$C$5),"T",2),IF(AND(OR($D45="Complete",$D45="Submitted"),L$15&gt;Sources!$C$5),4,1)),"")))</x:f>
      </x:c>
      <x:c r="M45" s="35" t="str">
        <x:f>IF(OR($E45="",$F45=""),"",IF($I45="Either date",IF(OR(AND(M$15&lt;=$E45,M$15+6&gt;=$E45),AND(M$15&lt;=$F45,M$15+6&gt;=$F45)),3,""),IF(AND(M$15&lt;=$F45,M$15+6&gt;=$E45),IF($I45="Milestone",IF(AND(OR($D45="Complete",$D45="Submitted"),$F45&gt;Sources!$C$5),"T",2),IF(AND(OR($D45="Complete",$D45="Submitted"),M$15&gt;Sources!$C$5),4,1)),"")))</x:f>
      </x:c>
      <x:c r="N45" s="35" t="str">
        <x:f>IF(OR($E45="",$F45=""),"",IF($I45="Either date",IF(OR(AND(N$15&lt;=$E45,N$15+6&gt;=$E45),AND(N$15&lt;=$F45,N$15+6&gt;=$F45)),3,""),IF(AND(N$15&lt;=$F45,N$15+6&gt;=$E45),IF($I45="Milestone",IF(AND(OR($D45="Complete",$D45="Submitted"),$F45&gt;Sources!$C$5),"T",2),IF(AND(OR($D45="Complete",$D45="Submitted"),N$15&gt;Sources!$C$5),4,1)),"")))</x:f>
      </x:c>
      <x:c r="O45" s="35" t="str">
        <x:f>IF(OR($E45="",$F45=""),"",IF($I45="Either date",IF(OR(AND(O$15&lt;=$E45,O$15+6&gt;=$E45),AND(O$15&lt;=$F45,O$15+6&gt;=$F45)),3,""),IF(AND(O$15&lt;=$F45,O$15+6&gt;=$E45),IF($I45="Milestone",IF(AND(OR($D45="Complete",$D45="Submitted"),$F45&gt;Sources!$C$5),"T",2),IF(AND(OR($D45="Complete",$D45="Submitted"),O$15&gt;Sources!$C$5),4,1)),"")))</x:f>
      </x:c>
      <x:c r="P45" s="35" t="str">
        <x:f>IF(OR($E45="",$F45=""),"",IF($I45="Either date",IF(OR(AND(P$15&lt;=$E45,P$15+6&gt;=$E45),AND(P$15&lt;=$F45,P$15+6&gt;=$F45)),3,""),IF(AND(P$15&lt;=$F45,P$15+6&gt;=$E45),IF($I45="Milestone",IF(AND(OR($D45="Complete",$D45="Submitted"),$F45&gt;Sources!$C$5),"T",2),IF(AND(OR($D45="Complete",$D45="Submitted"),P$15&gt;Sources!$C$5),4,1)),"")))</x:f>
      </x:c>
      <x:c r="Q45" s="35" t="str">
        <x:f>IF(OR($E45="",$F45=""),"",IF($I45="Either date",IF(OR(AND(Q$15&lt;=$E45,Q$15+6&gt;=$E45),AND(Q$15&lt;=$F45,Q$15+6&gt;=$F45)),3,""),IF(AND(Q$15&lt;=$F45,Q$15+6&gt;=$E45),IF($I45="Milestone",IF(AND(OR($D45="Complete",$D45="Submitted"),$F45&gt;Sources!$C$5),"T",2),IF(AND(OR($D45="Complete",$D45="Submitted"),Q$15&gt;Sources!$C$5),4,1)),"")))</x:f>
      </x:c>
      <x:c r="R45" s="35" t="str">
        <x:f>IF(OR($E45="",$F45=""),"",IF($I45="Either date",IF(OR(AND(R$15&lt;=$E45,R$15+6&gt;=$E45),AND(R$15&lt;=$F45,R$15+6&gt;=$F45)),3,""),IF(AND(R$15&lt;=$F45,R$15+6&gt;=$E45),IF($I45="Milestone",IF(AND(OR($D45="Complete",$D45="Submitted"),$F45&gt;Sources!$C$5),"T",2),IF(AND(OR($D45="Complete",$D45="Submitted"),R$15&gt;Sources!$C$5),4,1)),"")))</x:f>
      </x:c>
      <x:c r="S45" s="35" t="str">
        <x:f>IF(OR($E45="",$F45=""),"",IF($I45="Either date",IF(OR(AND(S$15&lt;=$E45,S$15+6&gt;=$E45),AND(S$15&lt;=$F45,S$15+6&gt;=$F45)),3,""),IF(AND(S$15&lt;=$F45,S$15+6&gt;=$E45),IF($I45="Milestone",IF(AND(OR($D45="Complete",$D45="Submitted"),$F45&gt;Sources!$C$5),"T",2),IF(AND(OR($D45="Complete",$D45="Submitted"),S$15&gt;Sources!$C$5),4,1)),"")))</x:f>
      </x:c>
      <x:c r="T45" s="35" t="str">
        <x:f>IF(OR($E45="",$F45=""),"",IF($I45="Either date",IF(OR(AND(T$15&lt;=$E45,T$15+6&gt;=$E45),AND(T$15&lt;=$F45,T$15+6&gt;=$F45)),3,""),IF(AND(T$15&lt;=$F45,T$15+6&gt;=$E45),IF($I45="Milestone",IF(AND(OR($D45="Complete",$D45="Submitted"),$F45&gt;Sources!$C$5),"T",2),IF(AND(OR($D45="Complete",$D45="Submitted"),T$15&gt;Sources!$C$5),4,1)),"")))</x:f>
      </x:c>
      <x:c r="U45" s="2"/>
      <x:c r="V45" s="2" t="str">
        <x:v>Arrange remote review. Actual-site refill, viewing and field performance remain separate tests.</x:v>
      </x:c>
      <x:c r="W45" s="18" t="str">
        <x:v>FS.04–FS.06 / linked TS</x:v>
      </x:c>
      <x:c r="X45" s="18" t="str">
        <x:v>V&amp;V plan; Week 9 update</x:v>
      </x:c>
    </x:row>
    <x:row r="46" ht="38" customHeight="1">
      <x:c r="A46" s="2" t="str">
        <x:v>V3</x:v>
      </x:c>
      <x:c r="B46" s="18" t="str">
        <x:v>Arrange the stakeholder follow-up</x:v>
      </x:c>
      <x:c r="C46" s="18" t="str">
        <x:v>Joseph</x:v>
      </x:c>
      <x:c r="D46" s="2" t="str">
        <x:v>Unscheduled</x:v>
      </x:c>
      <x:c r="E46" s="15"/>
      <x:c r="F46" s="15"/>
      <x:c r="G46" s="2" t="str">
        <x:f>IF(OR(E46="",F46="",I46="Either date"),"",IF(F46&lt;E46,"Review",F46-E46+1))</x:f>
      </x:c>
      <x:c r="H46" s="18" t="str">
        <x:v>Team review of Q1–Q3</x:v>
      </x:c>
      <x:c r="I46" s="18" t="str">
        <x:v>Window</x:v>
      </x:c>
      <x:c r="J46" s="35" t="str">
        <x:f>IF(OR($E46="",$F46=""),"",IF($I46="Either date",IF(OR(AND(J$15&lt;=$E46,J$15+6&gt;=$E46),AND(J$15&lt;=$F46,J$15+6&gt;=$F46)),3,""),IF(AND(J$15&lt;=$F46,J$15+6&gt;=$E46),IF($I46="Milestone",IF(AND(OR($D46="Complete",$D46="Submitted"),$F46&gt;Sources!$C$5),"T",2),IF(AND(OR($D46="Complete",$D46="Submitted"),J$15&gt;Sources!$C$5),4,1)),"")))</x:f>
      </x:c>
      <x:c r="K46" s="35" t="str">
        <x:f>IF(OR($E46="",$F46=""),"",IF($I46="Either date",IF(OR(AND(K$15&lt;=$E46,K$15+6&gt;=$E46),AND(K$15&lt;=$F46,K$15+6&gt;=$F46)),3,""),IF(AND(K$15&lt;=$F46,K$15+6&gt;=$E46),IF($I46="Milestone",IF(AND(OR($D46="Complete",$D46="Submitted"),$F46&gt;Sources!$C$5),"T",2),IF(AND(OR($D46="Complete",$D46="Submitted"),K$15&gt;Sources!$C$5),4,1)),"")))</x:f>
      </x:c>
      <x:c r="L46" s="35" t="str">
        <x:f>IF(OR($E46="",$F46=""),"",IF($I46="Either date",IF(OR(AND(L$15&lt;=$E46,L$15+6&gt;=$E46),AND(L$15&lt;=$F46,L$15+6&gt;=$F46)),3,""),IF(AND(L$15&lt;=$F46,L$15+6&gt;=$E46),IF($I46="Milestone",IF(AND(OR($D46="Complete",$D46="Submitted"),$F46&gt;Sources!$C$5),"T",2),IF(AND(OR($D46="Complete",$D46="Submitted"),L$15&gt;Sources!$C$5),4,1)),"")))</x:f>
      </x:c>
      <x:c r="M46" s="35" t="str">
        <x:f>IF(OR($E46="",$F46=""),"",IF($I46="Either date",IF(OR(AND(M$15&lt;=$E46,M$15+6&gt;=$E46),AND(M$15&lt;=$F46,M$15+6&gt;=$F46)),3,""),IF(AND(M$15&lt;=$F46,M$15+6&gt;=$E46),IF($I46="Milestone",IF(AND(OR($D46="Complete",$D46="Submitted"),$F46&gt;Sources!$C$5),"T",2),IF(AND(OR($D46="Complete",$D46="Submitted"),M$15&gt;Sources!$C$5),4,1)),"")))</x:f>
      </x:c>
      <x:c r="N46" s="35" t="str">
        <x:f>IF(OR($E46="",$F46=""),"",IF($I46="Either date",IF(OR(AND(N$15&lt;=$E46,N$15+6&gt;=$E46),AND(N$15&lt;=$F46,N$15+6&gt;=$F46)),3,""),IF(AND(N$15&lt;=$F46,N$15+6&gt;=$E46),IF($I46="Milestone",IF(AND(OR($D46="Complete",$D46="Submitted"),$F46&gt;Sources!$C$5),"T",2),IF(AND(OR($D46="Complete",$D46="Submitted"),N$15&gt;Sources!$C$5),4,1)),"")))</x:f>
      </x:c>
      <x:c r="O46" s="35" t="str">
        <x:f>IF(OR($E46="",$F46=""),"",IF($I46="Either date",IF(OR(AND(O$15&lt;=$E46,O$15+6&gt;=$E46),AND(O$15&lt;=$F46,O$15+6&gt;=$F46)),3,""),IF(AND(O$15&lt;=$F46,O$15+6&gt;=$E46),IF($I46="Milestone",IF(AND(OR($D46="Complete",$D46="Submitted"),$F46&gt;Sources!$C$5),"T",2),IF(AND(OR($D46="Complete",$D46="Submitted"),O$15&gt;Sources!$C$5),4,1)),"")))</x:f>
      </x:c>
      <x:c r="P46" s="35" t="str">
        <x:f>IF(OR($E46="",$F46=""),"",IF($I46="Either date",IF(OR(AND(P$15&lt;=$E46,P$15+6&gt;=$E46),AND(P$15&lt;=$F46,P$15+6&gt;=$F46)),3,""),IF(AND(P$15&lt;=$F46,P$15+6&gt;=$E46),IF($I46="Milestone",IF(AND(OR($D46="Complete",$D46="Submitted"),$F46&gt;Sources!$C$5),"T",2),IF(AND(OR($D46="Complete",$D46="Submitted"),P$15&gt;Sources!$C$5),4,1)),"")))</x:f>
      </x:c>
      <x:c r="Q46" s="35" t="str">
        <x:f>IF(OR($E46="",$F46=""),"",IF($I46="Either date",IF(OR(AND(Q$15&lt;=$E46,Q$15+6&gt;=$E46),AND(Q$15&lt;=$F46,Q$15+6&gt;=$F46)),3,""),IF(AND(Q$15&lt;=$F46,Q$15+6&gt;=$E46),IF($I46="Milestone",IF(AND(OR($D46="Complete",$D46="Submitted"),$F46&gt;Sources!$C$5),"T",2),IF(AND(OR($D46="Complete",$D46="Submitted"),Q$15&gt;Sources!$C$5),4,1)),"")))</x:f>
      </x:c>
      <x:c r="R46" s="35" t="str">
        <x:f>IF(OR($E46="",$F46=""),"",IF($I46="Either date",IF(OR(AND(R$15&lt;=$E46,R$15+6&gt;=$E46),AND(R$15&lt;=$F46,R$15+6&gt;=$F46)),3,""),IF(AND(R$15&lt;=$F46,R$15+6&gt;=$E46),IF($I46="Milestone",IF(AND(OR($D46="Complete",$D46="Submitted"),$F46&gt;Sources!$C$5),"T",2),IF(AND(OR($D46="Complete",$D46="Submitted"),R$15&gt;Sources!$C$5),4,1)),"")))</x:f>
      </x:c>
      <x:c r="S46" s="35" t="str">
        <x:f>IF(OR($E46="",$F46=""),"",IF($I46="Either date",IF(OR(AND(S$15&lt;=$E46,S$15+6&gt;=$E46),AND(S$15&lt;=$F46,S$15+6&gt;=$F46)),3,""),IF(AND(S$15&lt;=$F46,S$15+6&gt;=$E46),IF($I46="Milestone",IF(AND(OR($D46="Complete",$D46="Submitted"),$F46&gt;Sources!$C$5),"T",2),IF(AND(OR($D46="Complete",$D46="Submitted"),S$15&gt;Sources!$C$5),4,1)),"")))</x:f>
      </x:c>
      <x:c r="T46" s="35" t="str">
        <x:f>IF(OR($E46="",$F46=""),"",IF($I46="Either date",IF(OR(AND(T$15&lt;=$E46,T$15+6&gt;=$E46),AND(T$15&lt;=$F46,T$15+6&gt;=$F46)),3,""),IF(AND(T$15&lt;=$F46,T$15+6&gt;=$E46),IF($I46="Milestone",IF(AND(OR($D46="Complete",$D46="Submitted"),$F46&gt;Sources!$C$5),"T",2),IF(AND(OR($D46="Complete",$D46="Submitted"),T$15&gt;Sources!$C$5),4,1)),"")))</x:f>
      </x:c>
      <x:c r="U46" s="2"/>
      <x:c r="V46" s="2" t="str">
        <x:v>No new contact. Raise Q1–Q3 with the team before arranging follow-up.</x:v>
      </x:c>
      <x:c r="W46" s="18" t="str">
        <x:v>FS.04–FS.06</x:v>
      </x:c>
      <x:c r="X46" s="18" t="str">
        <x:v>Week 9 update</x:v>
      </x:c>
    </x:row>
    <x:row r="47" ht="38" customHeight="1">
      <x:c r="A47" s="36" t="str">
        <x:v>Q1</x:v>
      </x:c>
      <x:c r="B47" s="37" t="str">
        <x:v>Propose a window-side view of the enclosure for feedback</x:v>
      </x:c>
      <x:c r="C47" s="37" t="str">
        <x:v>Joe</x:v>
      </x:c>
      <x:c r="D47" s="36" t="str">
        <x:v>Proposed</x:v>
      </x:c>
      <x:c r="E47" s="38"/>
      <x:c r="F47" s="38"/>
      <x:c r="G47" s="36" t="str">
        <x:f>IF(OR(E47="",F47="",I47="Either date"),"",IF(F47&lt;E47,"Review",F47-E47+1))</x:f>
      </x:c>
      <x:c r="H47" s="37" t="str">
        <x:v>PR2</x:v>
      </x:c>
      <x:c r="I47" s="37" t="str">
        <x:v>Window</x:v>
      </x:c>
      <x:c r="J47" s="35" t="str">
        <x:f>IF(OR($E47="",$F47=""),"",IF($I47="Either date",IF(OR(AND(J$15&lt;=$E47,J$15+6&gt;=$E47),AND(J$15&lt;=$F47,J$15+6&gt;=$F47)),3,""),IF(AND(J$15&lt;=$F47,J$15+6&gt;=$E47),IF($I47="Milestone",IF(AND(OR($D47="Complete",$D47="Submitted"),$F47&gt;Sources!$C$5),"T",2),IF(AND(OR($D47="Complete",$D47="Submitted"),J$15&gt;Sources!$C$5),4,1)),"")))</x:f>
      </x:c>
      <x:c r="K47" s="35" t="str">
        <x:f>IF(OR($E47="",$F47=""),"",IF($I47="Either date",IF(OR(AND(K$15&lt;=$E47,K$15+6&gt;=$E47),AND(K$15&lt;=$F47,K$15+6&gt;=$F47)),3,""),IF(AND(K$15&lt;=$F47,K$15+6&gt;=$E47),IF($I47="Milestone",IF(AND(OR($D47="Complete",$D47="Submitted"),$F47&gt;Sources!$C$5),"T",2),IF(AND(OR($D47="Complete",$D47="Submitted"),K$15&gt;Sources!$C$5),4,1)),"")))</x:f>
      </x:c>
      <x:c r="L47" s="35" t="str">
        <x:f>IF(OR($E47="",$F47=""),"",IF($I47="Either date",IF(OR(AND(L$15&lt;=$E47,L$15+6&gt;=$E47),AND(L$15&lt;=$F47,L$15+6&gt;=$F47)),3,""),IF(AND(L$15&lt;=$F47,L$15+6&gt;=$E47),IF($I47="Milestone",IF(AND(OR($D47="Complete",$D47="Submitted"),$F47&gt;Sources!$C$5),"T",2),IF(AND(OR($D47="Complete",$D47="Submitted"),L$15&gt;Sources!$C$5),4,1)),"")))</x:f>
      </x:c>
      <x:c r="M47" s="35" t="str">
        <x:f>IF(OR($E47="",$F47=""),"",IF($I47="Either date",IF(OR(AND(M$15&lt;=$E47,M$15+6&gt;=$E47),AND(M$15&lt;=$F47,M$15+6&gt;=$F47)),3,""),IF(AND(M$15&lt;=$F47,M$15+6&gt;=$E47),IF($I47="Milestone",IF(AND(OR($D47="Complete",$D47="Submitted"),$F47&gt;Sources!$C$5),"T",2),IF(AND(OR($D47="Complete",$D47="Submitted"),M$15&gt;Sources!$C$5),4,1)),"")))</x:f>
      </x:c>
      <x:c r="N47" s="35" t="str">
        <x:f>IF(OR($E47="",$F47=""),"",IF($I47="Either date",IF(OR(AND(N$15&lt;=$E47,N$15+6&gt;=$E47),AND(N$15&lt;=$F47,N$15+6&gt;=$F47)),3,""),IF(AND(N$15&lt;=$F47,N$15+6&gt;=$E47),IF($I47="Milestone",IF(AND(OR($D47="Complete",$D47="Submitted"),$F47&gt;Sources!$C$5),"T",2),IF(AND(OR($D47="Complete",$D47="Submitted"),N$15&gt;Sources!$C$5),4,1)),"")))</x:f>
      </x:c>
      <x:c r="O47" s="35" t="str">
        <x:f>IF(OR($E47="",$F47=""),"",IF($I47="Either date",IF(OR(AND(O$15&lt;=$E47,O$15+6&gt;=$E47),AND(O$15&lt;=$F47,O$15+6&gt;=$F47)),3,""),IF(AND(O$15&lt;=$F47,O$15+6&gt;=$E47),IF($I47="Milestone",IF(AND(OR($D47="Complete",$D47="Submitted"),$F47&gt;Sources!$C$5),"T",2),IF(AND(OR($D47="Complete",$D47="Submitted"),O$15&gt;Sources!$C$5),4,1)),"")))</x:f>
      </x:c>
      <x:c r="P47" s="35" t="str">
        <x:f>IF(OR($E47="",$F47=""),"",IF($I47="Either date",IF(OR(AND(P$15&lt;=$E47,P$15+6&gt;=$E47),AND(P$15&lt;=$F47,P$15+6&gt;=$F47)),3,""),IF(AND(P$15&lt;=$F47,P$15+6&gt;=$E47),IF($I47="Milestone",IF(AND(OR($D47="Complete",$D47="Submitted"),$F47&gt;Sources!$C$5),"T",2),IF(AND(OR($D47="Complete",$D47="Submitted"),P$15&gt;Sources!$C$5),4,1)),"")))</x:f>
      </x:c>
      <x:c r="Q47" s="35" t="str">
        <x:f>IF(OR($E47="",$F47=""),"",IF($I47="Either date",IF(OR(AND(Q$15&lt;=$E47,Q$15+6&gt;=$E47),AND(Q$15&lt;=$F47,Q$15+6&gt;=$F47)),3,""),IF(AND(Q$15&lt;=$F47,Q$15+6&gt;=$E47),IF($I47="Milestone",IF(AND(OR($D47="Complete",$D47="Submitted"),$F47&gt;Sources!$C$5),"T",2),IF(AND(OR($D47="Complete",$D47="Submitted"),Q$15&gt;Sources!$C$5),4,1)),"")))</x:f>
      </x:c>
      <x:c r="R47" s="35" t="str">
        <x:f>IF(OR($E47="",$F47=""),"",IF($I47="Either date",IF(OR(AND(R$15&lt;=$E47,R$15+6&gt;=$E47),AND(R$15&lt;=$F47,R$15+6&gt;=$F47)),3,""),IF(AND(R$15&lt;=$F47,R$15+6&gt;=$E47),IF($I47="Milestone",IF(AND(OR($D47="Complete",$D47="Submitted"),$F47&gt;Sources!$C$5),"T",2),IF(AND(OR($D47="Complete",$D47="Submitted"),R$15&gt;Sources!$C$5),4,1)),"")))</x:f>
      </x:c>
      <x:c r="S47" s="35" t="str">
        <x:f>IF(OR($E47="",$F47=""),"",IF($I47="Either date",IF(OR(AND(S$15&lt;=$E47,S$15+6&gt;=$E47),AND(S$15&lt;=$F47,S$15+6&gt;=$F47)),3,""),IF(AND(S$15&lt;=$F47,S$15+6&gt;=$E47),IF($I47="Milestone",IF(AND(OR($D47="Complete",$D47="Submitted"),$F47&gt;Sources!$C$5),"T",2),IF(AND(OR($D47="Complete",$D47="Submitted"),S$15&gt;Sources!$C$5),4,1)),"")))</x:f>
      </x:c>
      <x:c r="T47" s="35" t="str">
        <x:f>IF(OR($E47="",$F47=""),"",IF($I47="Either date",IF(OR(AND(T$15&lt;=$E47,T$15+6&gt;=$E47),AND(T$15&lt;=$F47,T$15+6&gt;=$F47)),3,""),IF(AND(T$15&lt;=$F47,T$15+6&gt;=$E47),IF($I47="Milestone",IF(AND(OR($D47="Complete",$D47="Submitted"),$F47&gt;Sources!$C$5),"T",2),IF(AND(OR($D47="Complete",$D47="Submitted"),T$15&gt;Sources!$C$5),4,1)),"")))</x:f>
      </x:c>
      <x:c r="U47" s="2"/>
      <x:c r="V47" s="2" t="str">
        <x:v>Show the enclosure/post from the window and ask whether its visibility and position are acceptable. The memorial’s appearance matters.</x:v>
      </x:c>
      <x:c r="W47" s="18" t="str">
        <x:v>FS.04, FS.08</x:v>
      </x:c>
      <x:c r="X47" s="18" t="str">
        <x:v>Week 9 follow-up ideas</x:v>
      </x:c>
    </x:row>
    <x:row r="48" ht="38" customHeight="1">
      <x:c r="A48" s="2" t="str">
        <x:v>Q2</x:v>
      </x:c>
      <x:c r="B48" s="18" t="str">
        <x:v>Propose a question about computer availability</x:v>
      </x:c>
      <x:c r="C48" s="18" t="str">
        <x:v>Joe</x:v>
      </x:c>
      <x:c r="D48" s="2" t="str">
        <x:v>Proposed</x:v>
      </x:c>
      <x:c r="E48" s="15"/>
      <x:c r="F48" s="15"/>
      <x:c r="G48" s="2" t="str">
        <x:f>IF(OR(E48="",F48="",I48="Either date"),"",IF(F48&lt;E48,"Review",F48-E48+1))</x:f>
      </x:c>
      <x:c r="H48" s="18" t="str">
        <x:v>PR3</x:v>
      </x:c>
      <x:c r="I48" s="18" t="str">
        <x:v>Window</x:v>
      </x:c>
      <x:c r="J48" s="35" t="str">
        <x:f>IF(OR($E48="",$F48=""),"",IF($I48="Either date",IF(OR(AND(J$15&lt;=$E48,J$15+6&gt;=$E48),AND(J$15&lt;=$F48,J$15+6&gt;=$F48)),3,""),IF(AND(J$15&lt;=$F48,J$15+6&gt;=$E48),IF($I48="Milestone",IF(AND(OR($D48="Complete",$D48="Submitted"),$F48&gt;Sources!$C$5),"T",2),IF(AND(OR($D48="Complete",$D48="Submitted"),J$15&gt;Sources!$C$5),4,1)),"")))</x:f>
      </x:c>
      <x:c r="K48" s="35" t="str">
        <x:f>IF(OR($E48="",$F48=""),"",IF($I48="Either date",IF(OR(AND(K$15&lt;=$E48,K$15+6&gt;=$E48),AND(K$15&lt;=$F48,K$15+6&gt;=$F48)),3,""),IF(AND(K$15&lt;=$F48,K$15+6&gt;=$E48),IF($I48="Milestone",IF(AND(OR($D48="Complete",$D48="Submitted"),$F48&gt;Sources!$C$5),"T",2),IF(AND(OR($D48="Complete",$D48="Submitted"),K$15&gt;Sources!$C$5),4,1)),"")))</x:f>
      </x:c>
      <x:c r="L48" s="35" t="str">
        <x:f>IF(OR($E48="",$F48=""),"",IF($I48="Either date",IF(OR(AND(L$15&lt;=$E48,L$15+6&gt;=$E48),AND(L$15&lt;=$F48,L$15+6&gt;=$F48)),3,""),IF(AND(L$15&lt;=$F48,L$15+6&gt;=$E48),IF($I48="Milestone",IF(AND(OR($D48="Complete",$D48="Submitted"),$F48&gt;Sources!$C$5),"T",2),IF(AND(OR($D48="Complete",$D48="Submitted"),L$15&gt;Sources!$C$5),4,1)),"")))</x:f>
      </x:c>
      <x:c r="M48" s="35" t="str">
        <x:f>IF(OR($E48="",$F48=""),"",IF($I48="Either date",IF(OR(AND(M$15&lt;=$E48,M$15+6&gt;=$E48),AND(M$15&lt;=$F48,M$15+6&gt;=$F48)),3,""),IF(AND(M$15&lt;=$F48,M$15+6&gt;=$E48),IF($I48="Milestone",IF(AND(OR($D48="Complete",$D48="Submitted"),$F48&gt;Sources!$C$5),"T",2),IF(AND(OR($D48="Complete",$D48="Submitted"),M$15&gt;Sources!$C$5),4,1)),"")))</x:f>
      </x:c>
      <x:c r="N48" s="35" t="str">
        <x:f>IF(OR($E48="",$F48=""),"",IF($I48="Either date",IF(OR(AND(N$15&lt;=$E48,N$15+6&gt;=$E48),AND(N$15&lt;=$F48,N$15+6&gt;=$F48)),3,""),IF(AND(N$15&lt;=$F48,N$15+6&gt;=$E48),IF($I48="Milestone",IF(AND(OR($D48="Complete",$D48="Submitted"),$F48&gt;Sources!$C$5),"T",2),IF(AND(OR($D48="Complete",$D48="Submitted"),N$15&gt;Sources!$C$5),4,1)),"")))</x:f>
      </x:c>
      <x:c r="O48" s="35" t="str">
        <x:f>IF(OR($E48="",$F48=""),"",IF($I48="Either date",IF(OR(AND(O$15&lt;=$E48,O$15+6&gt;=$E48),AND(O$15&lt;=$F48,O$15+6&gt;=$F48)),3,""),IF(AND(O$15&lt;=$F48,O$15+6&gt;=$E48),IF($I48="Milestone",IF(AND(OR($D48="Complete",$D48="Submitted"),$F48&gt;Sources!$C$5),"T",2),IF(AND(OR($D48="Complete",$D48="Submitted"),O$15&gt;Sources!$C$5),4,1)),"")))</x:f>
      </x:c>
      <x:c r="P48" s="35" t="str">
        <x:f>IF(OR($E48="",$F48=""),"",IF($I48="Either date",IF(OR(AND(P$15&lt;=$E48,P$15+6&gt;=$E48),AND(P$15&lt;=$F48,P$15+6&gt;=$F48)),3,""),IF(AND(P$15&lt;=$F48,P$15+6&gt;=$E48),IF($I48="Milestone",IF(AND(OR($D48="Complete",$D48="Submitted"),$F48&gt;Sources!$C$5),"T",2),IF(AND(OR($D48="Complete",$D48="Submitted"),P$15&gt;Sources!$C$5),4,1)),"")))</x:f>
      </x:c>
      <x:c r="Q48" s="35" t="str">
        <x:f>IF(OR($E48="",$F48=""),"",IF($I48="Either date",IF(OR(AND(Q$15&lt;=$E48,Q$15+6&gt;=$E48),AND(Q$15&lt;=$F48,Q$15+6&gt;=$F48)),3,""),IF(AND(Q$15&lt;=$F48,Q$15+6&gt;=$E48),IF($I48="Milestone",IF(AND(OR($D48="Complete",$D48="Submitted"),$F48&gt;Sources!$C$5),"T",2),IF(AND(OR($D48="Complete",$D48="Submitted"),Q$15&gt;Sources!$C$5),4,1)),"")))</x:f>
      </x:c>
      <x:c r="R48" s="35" t="str">
        <x:f>IF(OR($E48="",$F48=""),"",IF($I48="Either date",IF(OR(AND(R$15&lt;=$E48,R$15+6&gt;=$E48),AND(R$15&lt;=$F48,R$15+6&gt;=$F48)),3,""),IF(AND(R$15&lt;=$F48,R$15+6&gt;=$E48),IF($I48="Milestone",IF(AND(OR($D48="Complete",$D48="Submitted"),$F48&gt;Sources!$C$5),"T",2),IF(AND(OR($D48="Complete",$D48="Submitted"),R$15&gt;Sources!$C$5),4,1)),"")))</x:f>
      </x:c>
      <x:c r="S48" s="35" t="str">
        <x:f>IF(OR($E48="",$F48=""),"",IF($I48="Either date",IF(OR(AND(S$15&lt;=$E48,S$15+6&gt;=$E48),AND(S$15&lt;=$F48,S$15+6&gt;=$F48)),3,""),IF(AND(S$15&lt;=$F48,S$15+6&gt;=$E48),IF($I48="Milestone",IF(AND(OR($D48="Complete",$D48="Submitted"),$F48&gt;Sources!$C$5),"T",2),IF(AND(OR($D48="Complete",$D48="Submitted"),S$15&gt;Sources!$C$5),4,1)),"")))</x:f>
      </x:c>
      <x:c r="T48" s="35" t="str">
        <x:f>IF(OR($E48="",$F48=""),"",IF($I48="Either date",IF(OR(AND(T$15&lt;=$E48,T$15+6&gt;=$E48),AND(T$15&lt;=$F48,T$15+6&gt;=$F48)),3,""),IF(AND(T$15&lt;=$F48,T$15+6&gt;=$E48),IF($I48="Milestone",IF(AND(OR($D48="Complete",$D48="Submitted"),$F48&gt;Sources!$C$5),"T",2),IF(AND(OR($D48="Complete",$D48="Submitted"),T$15&gt;Sources!$C$5),4,1)),"")))</x:f>
      </x:c>
      <x:c r="U48" s="2"/>
      <x:c r="V48" s="2" t="str">
        <x:v>Ask whether a computer can stay available when the system runs, or eventual operation must be independent.</x:v>
      </x:c>
      <x:c r="W48" s="18" t="str">
        <x:v>Recognition deployment</x:v>
      </x:c>
      <x:c r="X48" s="18" t="str">
        <x:v>Week 9 follow-up ideas</x:v>
      </x:c>
    </x:row>
    <x:row r="49" ht="38" customHeight="1">
      <x:c r="A49" s="36" t="str">
        <x:v>Q3</x:v>
      </x:c>
      <x:c r="B49" s="37" t="str">
        <x:v>Propose a question about status visibility from indoors</x:v>
      </x:c>
      <x:c r="C49" s="37" t="str">
        <x:v>Joe</x:v>
      </x:c>
      <x:c r="D49" s="36" t="str">
        <x:v>Proposed</x:v>
      </x:c>
      <x:c r="E49" s="38"/>
      <x:c r="F49" s="38"/>
      <x:c r="G49" s="36" t="str">
        <x:f>IF(OR(E49="",F49="",I49="Either date"),"",IF(F49&lt;E49,"Review",F49-E49+1))</x:f>
      </x:c>
      <x:c r="H49" s="37" t="str">
        <x:v>PR2, PR3</x:v>
      </x:c>
      <x:c r="I49" s="37" t="str">
        <x:v>Window</x:v>
      </x:c>
      <x:c r="J49" s="35" t="str">
        <x:f>IF(OR($E49="",$F49=""),"",IF($I49="Either date",IF(OR(AND(J$15&lt;=$E49,J$15+6&gt;=$E49),AND(J$15&lt;=$F49,J$15+6&gt;=$F49)),3,""),IF(AND(J$15&lt;=$F49,J$15+6&gt;=$E49),IF($I49="Milestone",IF(AND(OR($D49="Complete",$D49="Submitted"),$F49&gt;Sources!$C$5),"T",2),IF(AND(OR($D49="Complete",$D49="Submitted"),J$15&gt;Sources!$C$5),4,1)),"")))</x:f>
      </x:c>
      <x:c r="K49" s="35" t="str">
        <x:f>IF(OR($E49="",$F49=""),"",IF($I49="Either date",IF(OR(AND(K$15&lt;=$E49,K$15+6&gt;=$E49),AND(K$15&lt;=$F49,K$15+6&gt;=$F49)),3,""),IF(AND(K$15&lt;=$F49,K$15+6&gt;=$E49),IF($I49="Milestone",IF(AND(OR($D49="Complete",$D49="Submitted"),$F49&gt;Sources!$C$5),"T",2),IF(AND(OR($D49="Complete",$D49="Submitted"),K$15&gt;Sources!$C$5),4,1)),"")))</x:f>
      </x:c>
      <x:c r="L49" s="35" t="str">
        <x:f>IF(OR($E49="",$F49=""),"",IF($I49="Either date",IF(OR(AND(L$15&lt;=$E49,L$15+6&gt;=$E49),AND(L$15&lt;=$F49,L$15+6&gt;=$F49)),3,""),IF(AND(L$15&lt;=$F49,L$15+6&gt;=$E49),IF($I49="Milestone",IF(AND(OR($D49="Complete",$D49="Submitted"),$F49&gt;Sources!$C$5),"T",2),IF(AND(OR($D49="Complete",$D49="Submitted"),L$15&gt;Sources!$C$5),4,1)),"")))</x:f>
      </x:c>
      <x:c r="M49" s="35" t="str">
        <x:f>IF(OR($E49="",$F49=""),"",IF($I49="Either date",IF(OR(AND(M$15&lt;=$E49,M$15+6&gt;=$E49),AND(M$15&lt;=$F49,M$15+6&gt;=$F49)),3,""),IF(AND(M$15&lt;=$F49,M$15+6&gt;=$E49),IF($I49="Milestone",IF(AND(OR($D49="Complete",$D49="Submitted"),$F49&gt;Sources!$C$5),"T",2),IF(AND(OR($D49="Complete",$D49="Submitted"),M$15&gt;Sources!$C$5),4,1)),"")))</x:f>
      </x:c>
      <x:c r="N49" s="35" t="str">
        <x:f>IF(OR($E49="",$F49=""),"",IF($I49="Either date",IF(OR(AND(N$15&lt;=$E49,N$15+6&gt;=$E49),AND(N$15&lt;=$F49,N$15+6&gt;=$F49)),3,""),IF(AND(N$15&lt;=$F49,N$15+6&gt;=$E49),IF($I49="Milestone",IF(AND(OR($D49="Complete",$D49="Submitted"),$F49&gt;Sources!$C$5),"T",2),IF(AND(OR($D49="Complete",$D49="Submitted"),N$15&gt;Sources!$C$5),4,1)),"")))</x:f>
      </x:c>
      <x:c r="O49" s="35" t="str">
        <x:f>IF(OR($E49="",$F49=""),"",IF($I49="Either date",IF(OR(AND(O$15&lt;=$E49,O$15+6&gt;=$E49),AND(O$15&lt;=$F49,O$15+6&gt;=$F49)),3,""),IF(AND(O$15&lt;=$F49,O$15+6&gt;=$E49),IF($I49="Milestone",IF(AND(OR($D49="Complete",$D49="Submitted"),$F49&gt;Sources!$C$5),"T",2),IF(AND(OR($D49="Complete",$D49="Submitted"),O$15&gt;Sources!$C$5),4,1)),"")))</x:f>
      </x:c>
      <x:c r="P49" s="35" t="str">
        <x:f>IF(OR($E49="",$F49=""),"",IF($I49="Either date",IF(OR(AND(P$15&lt;=$E49,P$15+6&gt;=$E49),AND(P$15&lt;=$F49,P$15+6&gt;=$F49)),3,""),IF(AND(P$15&lt;=$F49,P$15+6&gt;=$E49),IF($I49="Milestone",IF(AND(OR($D49="Complete",$D49="Submitted"),$F49&gt;Sources!$C$5),"T",2),IF(AND(OR($D49="Complete",$D49="Submitted"),P$15&gt;Sources!$C$5),4,1)),"")))</x:f>
      </x:c>
      <x:c r="Q49" s="35" t="str">
        <x:f>IF(OR($E49="",$F49=""),"",IF($I49="Either date",IF(OR(AND(Q$15&lt;=$E49,Q$15+6&gt;=$E49),AND(Q$15&lt;=$F49,Q$15+6&gt;=$F49)),3,""),IF(AND(Q$15&lt;=$F49,Q$15+6&gt;=$E49),IF($I49="Milestone",IF(AND(OR($D49="Complete",$D49="Submitted"),$F49&gt;Sources!$C$5),"T",2),IF(AND(OR($D49="Complete",$D49="Submitted"),Q$15&gt;Sources!$C$5),4,1)),"")))</x:f>
      </x:c>
      <x:c r="R49" s="35" t="str">
        <x:f>IF(OR($E49="",$F49=""),"",IF($I49="Either date",IF(OR(AND(R$15&lt;=$E49,R$15+6&gt;=$E49),AND(R$15&lt;=$F49,R$15+6&gt;=$F49)),3,""),IF(AND(R$15&lt;=$F49,R$15+6&gt;=$E49),IF($I49="Milestone",IF(AND(OR($D49="Complete",$D49="Submitted"),$F49&gt;Sources!$C$5),"T",2),IF(AND(OR($D49="Complete",$D49="Submitted"),R$15&gt;Sources!$C$5),4,1)),"")))</x:f>
      </x:c>
      <x:c r="S49" s="35" t="str">
        <x:f>IF(OR($E49="",$F49=""),"",IF($I49="Either date",IF(OR(AND(S$15&lt;=$E49,S$15+6&gt;=$E49),AND(S$15&lt;=$F49,S$15+6&gt;=$F49)),3,""),IF(AND(S$15&lt;=$F49,S$15+6&gt;=$E49),IF($I49="Milestone",IF(AND(OR($D49="Complete",$D49="Submitted"),$F49&gt;Sources!$C$5),"T",2),IF(AND(OR($D49="Complete",$D49="Submitted"),S$15&gt;Sources!$C$5),4,1)),"")))</x:f>
      </x:c>
      <x:c r="T49" s="35" t="str">
        <x:f>IF(OR($E49="",$F49=""),"",IF($I49="Either date",IF(OR(AND(T$15&lt;=$E49,T$15+6&gt;=$E49),AND(T$15&lt;=$F49,T$15+6&gt;=$F49)),3,""),IF(AND(T$15&lt;=$F49,T$15+6&gt;=$E49),IF($I49="Milestone",IF(AND(OR($D49="Complete",$D49="Submitted"),$F49&gt;Sources!$C$5),"T",2),IF(AND(OR($D49="Complete",$D49="Submitted"),T$15&gt;Sources!$C$5),4,1)),"")))</x:f>
      </x:c>
      <x:c r="U49" s="2"/>
      <x:c r="V49" s="2" t="str">
        <x:v>The display sits inside the enclosure. Ask how normal, paused and needs-attention states should be visible indoors.</x:v>
      </x:c>
      <x:c r="W49" s="18" t="str">
        <x:v>Status / maintenance</x:v>
      </x:c>
      <x:c r="X49" s="18" t="str">
        <x:v>Week 9 follow-up ideas</x:v>
      </x:c>
    </x:row>
    <x:row r="50" ht="38" customHeight="1">
      <x:c r="A50" s="2" t="str">
        <x:v>F1</x:v>
      </x:c>
      <x:c r="B50" s="18" t="str">
        <x:v>Field seed-loss, bird-access and actual-site evidence</x:v>
      </x:c>
      <x:c r="C50" s="18" t="str">
        <x:v>All four</x:v>
      </x:c>
      <x:c r="D50" s="2" t="str">
        <x:v>Deferred</x:v>
      </x:c>
      <x:c r="E50" s="15"/>
      <x:c r="F50" s="15"/>
      <x:c r="G50" s="2" t="str">
        <x:f>IF(OR(E50="",F50="",I50="Either date"),"",IF(F50&lt;E50,"Review",F50-E50+1))</x:f>
      </x:c>
      <x:c r="H50" s="18" t="str">
        <x:v>Future field study</x:v>
      </x:c>
      <x:c r="I50" s="18" t="str">
        <x:v>Window</x:v>
      </x:c>
      <x:c r="J50" s="35" t="str">
        <x:f>IF(OR($E50="",$F50=""),"",IF($I50="Either date",IF(OR(AND(J$15&lt;=$E50,J$15+6&gt;=$E50),AND(J$15&lt;=$F50,J$15+6&gt;=$F50)),3,""),IF(AND(J$15&lt;=$F50,J$15+6&gt;=$E50),IF($I50="Milestone",IF(AND(OR($D50="Complete",$D50="Submitted"),$F50&gt;Sources!$C$5),"T",2),IF(AND(OR($D50="Complete",$D50="Submitted"),J$15&gt;Sources!$C$5),4,1)),"")))</x:f>
      </x:c>
      <x:c r="K50" s="35" t="str">
        <x:f>IF(OR($E50="",$F50=""),"",IF($I50="Either date",IF(OR(AND(K$15&lt;=$E50,K$15+6&gt;=$E50),AND(K$15&lt;=$F50,K$15+6&gt;=$F50)),3,""),IF(AND(K$15&lt;=$F50,K$15+6&gt;=$E50),IF($I50="Milestone",IF(AND(OR($D50="Complete",$D50="Submitted"),$F50&gt;Sources!$C$5),"T",2),IF(AND(OR($D50="Complete",$D50="Submitted"),K$15&gt;Sources!$C$5),4,1)),"")))</x:f>
      </x:c>
      <x:c r="L50" s="35" t="str">
        <x:f>IF(OR($E50="",$F50=""),"",IF($I50="Either date",IF(OR(AND(L$15&lt;=$E50,L$15+6&gt;=$E50),AND(L$15&lt;=$F50,L$15+6&gt;=$F50)),3,""),IF(AND(L$15&lt;=$F50,L$15+6&gt;=$E50),IF($I50="Milestone",IF(AND(OR($D50="Complete",$D50="Submitted"),$F50&gt;Sources!$C$5),"T",2),IF(AND(OR($D50="Complete",$D50="Submitted"),L$15&gt;Sources!$C$5),4,1)),"")))</x:f>
      </x:c>
      <x:c r="M50" s="35" t="str">
        <x:f>IF(OR($E50="",$F50=""),"",IF($I50="Either date",IF(OR(AND(M$15&lt;=$E50,M$15+6&gt;=$E50),AND(M$15&lt;=$F50,M$15+6&gt;=$F50)),3,""),IF(AND(M$15&lt;=$F50,M$15+6&gt;=$E50),IF($I50="Milestone",IF(AND(OR($D50="Complete",$D50="Submitted"),$F50&gt;Sources!$C$5),"T",2),IF(AND(OR($D50="Complete",$D50="Submitted"),M$15&gt;Sources!$C$5),4,1)),"")))</x:f>
      </x:c>
      <x:c r="N50" s="35" t="str">
        <x:f>IF(OR($E50="",$F50=""),"",IF($I50="Either date",IF(OR(AND(N$15&lt;=$E50,N$15+6&gt;=$E50),AND(N$15&lt;=$F50,N$15+6&gt;=$F50)),3,""),IF(AND(N$15&lt;=$F50,N$15+6&gt;=$E50),IF($I50="Milestone",IF(AND(OR($D50="Complete",$D50="Submitted"),$F50&gt;Sources!$C$5),"T",2),IF(AND(OR($D50="Complete",$D50="Submitted"),N$15&gt;Sources!$C$5),4,1)),"")))</x:f>
      </x:c>
      <x:c r="O50" s="35" t="str">
        <x:f>IF(OR($E50="",$F50=""),"",IF($I50="Either date",IF(OR(AND(O$15&lt;=$E50,O$15+6&gt;=$E50),AND(O$15&lt;=$F50,O$15+6&gt;=$F50)),3,""),IF(AND(O$15&lt;=$F50,O$15+6&gt;=$E50),IF($I50="Milestone",IF(AND(OR($D50="Complete",$D50="Submitted"),$F50&gt;Sources!$C$5),"T",2),IF(AND(OR($D50="Complete",$D50="Submitted"),O$15&gt;Sources!$C$5),4,1)),"")))</x:f>
      </x:c>
      <x:c r="P50" s="35" t="str">
        <x:f>IF(OR($E50="",$F50=""),"",IF($I50="Either date",IF(OR(AND(P$15&lt;=$E50,P$15+6&gt;=$E50),AND(P$15&lt;=$F50,P$15+6&gt;=$F50)),3,""),IF(AND(P$15&lt;=$F50,P$15+6&gt;=$E50),IF($I50="Milestone",IF(AND(OR($D50="Complete",$D50="Submitted"),$F50&gt;Sources!$C$5),"T",2),IF(AND(OR($D50="Complete",$D50="Submitted"),P$15&gt;Sources!$C$5),4,1)),"")))</x:f>
      </x:c>
      <x:c r="Q50" s="35" t="str">
        <x:f>IF(OR($E50="",$F50=""),"",IF($I50="Either date",IF(OR(AND(Q$15&lt;=$E50,Q$15+6&gt;=$E50),AND(Q$15&lt;=$F50,Q$15+6&gt;=$F50)),3,""),IF(AND(Q$15&lt;=$F50,Q$15+6&gt;=$E50),IF($I50="Milestone",IF(AND(OR($D50="Complete",$D50="Submitted"),$F50&gt;Sources!$C$5),"T",2),IF(AND(OR($D50="Complete",$D50="Submitted"),Q$15&gt;Sources!$C$5),4,1)),"")))</x:f>
      </x:c>
      <x:c r="R50" s="35" t="str">
        <x:f>IF(OR($E50="",$F50=""),"",IF($I50="Either date",IF(OR(AND(R$15&lt;=$E50,R$15+6&gt;=$E50),AND(R$15&lt;=$F50,R$15+6&gt;=$F50)),3,""),IF(AND(R$15&lt;=$F50,R$15+6&gt;=$E50),IF($I50="Milestone",IF(AND(OR($D50="Complete",$D50="Submitted"),$F50&gt;Sources!$C$5),"T",2),IF(AND(OR($D50="Complete",$D50="Submitted"),R$15&gt;Sources!$C$5),4,1)),"")))</x:f>
      </x:c>
      <x:c r="S50" s="35" t="str">
        <x:f>IF(OR($E50="",$F50=""),"",IF($I50="Either date",IF(OR(AND(S$15&lt;=$E50,S$15+6&gt;=$E50),AND(S$15&lt;=$F50,S$15+6&gt;=$F50)),3,""),IF(AND(S$15&lt;=$F50,S$15+6&gt;=$E50),IF($I50="Milestone",IF(AND(OR($D50="Complete",$D50="Submitted"),$F50&gt;Sources!$C$5),"T",2),IF(AND(OR($D50="Complete",$D50="Submitted"),S$15&gt;Sources!$C$5),4,1)),"")))</x:f>
      </x:c>
      <x:c r="T50" s="35" t="str">
        <x:f>IF(OR($E50="",$F50=""),"",IF($I50="Either date",IF(OR(AND(T$15&lt;=$E50,T$15+6&gt;=$E50),AND(T$15&lt;=$F50,T$15+6&gt;=$F50)),3,""),IF(AND(T$15&lt;=$F50,T$15+6&gt;=$E50),IF($I50="Milestone",IF(AND(OR($D50="Complete",$D50="Submitted"),$F50&gt;Sources!$C$5),"T",2),IF(AND(OR($D50="Complete",$D50="Submitted"),T$15&gt;Sources!$C$5),4,1)),"")))</x:f>
      </x:c>
      <x:c r="U50" s="2"/>
      <x:c r="V50" s="2" t="str">
        <x:v>Lab prototypes do not establish seed loss, bird feeding or actual-site refill, viewing and feeder compatibility.</x:v>
      </x:c>
      <x:c r="W50" s="18" t="str">
        <x:v>Field and actual-feeder criteria</x:v>
      </x:c>
      <x:c r="X50" s="18" t="str">
        <x:v>V&amp;V plan, pp. 1–2, 11–14</x:v>
      </x:c>
    </x:row>
    <x:row r="51" ht="38" customHeight="1">
      <x:c r="A51" s="36" t="str">
        <x:v>M5</x:v>
      </x:c>
      <x:c r="B51" s="37" t="str">
        <x:v>First laboratory dataset ready</x:v>
      </x:c>
      <x:c r="C51" s="37" t="str">
        <x:v>All four</x:v>
      </x:c>
      <x:c r="D51" s="36" t="str">
        <x:v>Planned</x:v>
      </x:c>
      <x:c r="E51" s="38" t="n">
        <x:f>'Sources'!$C$11-1</x:f>
        <x:v>46331</x:v>
      </x:c>
      <x:c r="F51" s="38" t="n">
        <x:f>'Sources'!$C$11-1</x:f>
        <x:v>46331</x:v>
      </x:c>
      <x:c r="G51" s="36" t="n">
        <x:f>IF(OR(E51="",F51="",I51="Either date"),"",IF(F51&lt;E51,"Review",F51-E51+1))</x:f>
        <x:v>1</x:v>
      </x:c>
      <x:c r="H51" s="37" t="str">
        <x:v>V1</x:v>
      </x:c>
      <x:c r="I51" s="37" t="str">
        <x:v>Milestone</x:v>
      </x:c>
      <x:c r="J51" s="35" t="str">
        <x:f>IF(OR($E51="",$F51=""),"",IF($I51="Either date",IF(OR(AND(J$15&lt;=$E51,J$15+6&gt;=$E51),AND(J$15&lt;=$F51,J$15+6&gt;=$F51)),3,""),IF(AND(J$15&lt;=$F51,J$15+6&gt;=$E51),IF($I51="Milestone",IF(AND(OR($D51="Complete",$D51="Submitted"),$F51&gt;Sources!$C$5),"T",2),IF(AND(OR($D51="Complete",$D51="Submitted"),J$15&gt;Sources!$C$5),4,1)),"")))</x:f>
      </x:c>
      <x:c r="K51" s="35" t="str">
        <x:f>IF(OR($E51="",$F51=""),"",IF($I51="Either date",IF(OR(AND(K$15&lt;=$E51,K$15+6&gt;=$E51),AND(K$15&lt;=$F51,K$15+6&gt;=$F51)),3,""),IF(AND(K$15&lt;=$F51,K$15+6&gt;=$E51),IF($I51="Milestone",IF(AND(OR($D51="Complete",$D51="Submitted"),$F51&gt;Sources!$C$5),"T",2),IF(AND(OR($D51="Complete",$D51="Submitted"),K$15&gt;Sources!$C$5),4,1)),"")))</x:f>
      </x:c>
      <x:c r="L51" s="35" t="str">
        <x:f>IF(OR($E51="",$F51=""),"",IF($I51="Either date",IF(OR(AND(L$15&lt;=$E51,L$15+6&gt;=$E51),AND(L$15&lt;=$F51,L$15+6&gt;=$F51)),3,""),IF(AND(L$15&lt;=$F51,L$15+6&gt;=$E51),IF($I51="Milestone",IF(AND(OR($D51="Complete",$D51="Submitted"),$F51&gt;Sources!$C$5),"T",2),IF(AND(OR($D51="Complete",$D51="Submitted"),L$15&gt;Sources!$C$5),4,1)),"")))</x:f>
      </x:c>
      <x:c r="M51" s="35" t="str">
        <x:f>IF(OR($E51="",$F51=""),"",IF($I51="Either date",IF(OR(AND(M$15&lt;=$E51,M$15+6&gt;=$E51),AND(M$15&lt;=$F51,M$15+6&gt;=$F51)),3,""),IF(AND(M$15&lt;=$F51,M$15+6&gt;=$E51),IF($I51="Milestone",IF(AND(OR($D51="Complete",$D51="Submitted"),$F51&gt;Sources!$C$5),"T",2),IF(AND(OR($D51="Complete",$D51="Submitted"),M$15&gt;Sources!$C$5),4,1)),"")))</x:f>
      </x:c>
      <x:c r="N51" s="35" t="str">
        <x:f>IF(OR($E51="",$F51=""),"",IF($I51="Either date",IF(OR(AND(N$15&lt;=$E51,N$15+6&gt;=$E51),AND(N$15&lt;=$F51,N$15+6&gt;=$F51)),3,""),IF(AND(N$15&lt;=$F51,N$15+6&gt;=$E51),IF($I51="Milestone",IF(AND(OR($D51="Complete",$D51="Submitted"),$F51&gt;Sources!$C$5),"T",2),IF(AND(OR($D51="Complete",$D51="Submitted"),N$15&gt;Sources!$C$5),4,1)),"")))</x:f>
      </x:c>
      <x:c r="O51" s="35" t="n">
        <x:f>IF(OR($E51="",$F51=""),"",IF($I51="Either date",IF(OR(AND(O$15&lt;=$E51,O$15+6&gt;=$E51),AND(O$15&lt;=$F51,O$15+6&gt;=$F51)),3,""),IF(AND(O$15&lt;=$F51,O$15+6&gt;=$E51),IF($I51="Milestone",IF(AND(OR($D51="Complete",$D51="Submitted"),$F51&gt;Sources!$C$5),"T",2),IF(AND(OR($D51="Complete",$D51="Submitted"),O$15&gt;Sources!$C$5),4,1)),"")))</x:f>
        <x:v>2</x:v>
      </x:c>
      <x:c r="P51" s="35" t="str">
        <x:f>IF(OR($E51="",$F51=""),"",IF($I51="Either date",IF(OR(AND(P$15&lt;=$E51,P$15+6&gt;=$E51),AND(P$15&lt;=$F51,P$15+6&gt;=$F51)),3,""),IF(AND(P$15&lt;=$F51,P$15+6&gt;=$E51),IF($I51="Milestone",IF(AND(OR($D51="Complete",$D51="Submitted"),$F51&gt;Sources!$C$5),"T",2),IF(AND(OR($D51="Complete",$D51="Submitted"),P$15&gt;Sources!$C$5),4,1)),"")))</x:f>
      </x:c>
      <x:c r="Q51" s="35" t="str">
        <x:f>IF(OR($E51="",$F51=""),"",IF($I51="Either date",IF(OR(AND(Q$15&lt;=$E51,Q$15+6&gt;=$E51),AND(Q$15&lt;=$F51,Q$15+6&gt;=$F51)),3,""),IF(AND(Q$15&lt;=$F51,Q$15+6&gt;=$E51),IF($I51="Milestone",IF(AND(OR($D51="Complete",$D51="Submitted"),$F51&gt;Sources!$C$5),"T",2),IF(AND(OR($D51="Complete",$D51="Submitted"),Q$15&gt;Sources!$C$5),4,1)),"")))</x:f>
      </x:c>
      <x:c r="R51" s="35" t="str">
        <x:f>IF(OR($E51="",$F51=""),"",IF($I51="Either date",IF(OR(AND(R$15&lt;=$E51,R$15+6&gt;=$E51),AND(R$15&lt;=$F51,R$15+6&gt;=$F51)),3,""),IF(AND(R$15&lt;=$F51,R$15+6&gt;=$E51),IF($I51="Milestone",IF(AND(OR($D51="Complete",$D51="Submitted"),$F51&gt;Sources!$C$5),"T",2),IF(AND(OR($D51="Complete",$D51="Submitted"),R$15&gt;Sources!$C$5),4,1)),"")))</x:f>
      </x:c>
      <x:c r="S51" s="35" t="str">
        <x:f>IF(OR($E51="",$F51=""),"",IF($I51="Either date",IF(OR(AND(S$15&lt;=$E51,S$15+6&gt;=$E51),AND(S$15&lt;=$F51,S$15+6&gt;=$F51)),3,""),IF(AND(S$15&lt;=$F51,S$15+6&gt;=$E51),IF($I51="Milestone",IF(AND(OR($D51="Complete",$D51="Submitted"),$F51&gt;Sources!$C$5),"T",2),IF(AND(OR($D51="Complete",$D51="Submitted"),S$15&gt;Sources!$C$5),4,1)),"")))</x:f>
      </x:c>
      <x:c r="T51" s="35" t="str">
        <x:f>IF(OR($E51="",$F51=""),"",IF($I51="Either date",IF(OR(AND(T$15&lt;=$E51,T$15+6&gt;=$E51),AND(T$15&lt;=$F51,T$15+6&gt;=$F51)),3,""),IF(AND(T$15&lt;=$F51,T$15+6&gt;=$E51),IF($I51="Milestone",IF(AND(OR($D51="Complete",$D51="Submitted"),$F51&gt;Sources!$C$5),"T",2),IF(AND(OR($D51="Complete",$D51="Submitted"),T$15&gt;Sources!$C$5),4,1)),"")))</x:f>
      </x:c>
      <x:c r="U51" s="2"/>
      <x:c r="V51" s="2" t="str">
        <x:v>Initial laboratory dataset for the progress check-in. Remote stakeholder review may still be pending.</x:v>
      </x:c>
      <x:c r="W51" s="18" t="str">
        <x:v>All FS / TS</x:v>
      </x:c>
      <x:c r="X51" s="18" t="str">
        <x:v>Submitted checkpoint; lab-study scope</x:v>
      </x:c>
    </x:row>
    <x:row r="52" ht="38" customHeight="1">
      <x:c r="A52" s="2" t="str">
        <x:v>V4</x:v>
      </x:c>
      <x:c r="B52" s="18" t="str">
        <x:v>Assemble validation evidence and checkpoint update</x:v>
      </x:c>
      <x:c r="C52" s="18" t="str">
        <x:v>Ayan</x:v>
      </x:c>
      <x:c r="D52" s="2" t="str">
        <x:v>Planned</x:v>
      </x:c>
      <x:c r="E52" s="15" t="d">
        <x:v>2026-11-06T00:00:00.000Z</x:v>
      </x:c>
      <x:c r="F52" s="15" t="d">
        <x:v>2026-11-09T00:00:00.000Z</x:v>
      </x:c>
      <x:c r="G52" s="2" t="n">
        <x:f>IF(OR(E52="",F52="",I52="Either date"),"",IF(F52&lt;E52,"Review",F52-E52+1))</x:f>
        <x:v>4</x:v>
      </x:c>
      <x:c r="H52" s="18" t="str">
        <x:v>V1; V2 status</x:v>
      </x:c>
      <x:c r="I52" s="18" t="str">
        <x:v>Window</x:v>
      </x:c>
      <x:c r="J52" s="35" t="str">
        <x:f>IF(OR($E52="",$F52=""),"",IF($I52="Either date",IF(OR(AND(J$15&lt;=$E52,J$15+6&gt;=$E52),AND(J$15&lt;=$F52,J$15+6&gt;=$F52)),3,""),IF(AND(J$15&lt;=$F52,J$15+6&gt;=$E52),IF($I52="Milestone",IF(AND(OR($D52="Complete",$D52="Submitted"),$F52&gt;Sources!$C$5),"T",2),IF(AND(OR($D52="Complete",$D52="Submitted"),J$15&gt;Sources!$C$5),4,1)),"")))</x:f>
      </x:c>
      <x:c r="K52" s="35" t="str">
        <x:f>IF(OR($E52="",$F52=""),"",IF($I52="Either date",IF(OR(AND(K$15&lt;=$E52,K$15+6&gt;=$E52),AND(K$15&lt;=$F52,K$15+6&gt;=$F52)),3,""),IF(AND(K$15&lt;=$F52,K$15+6&gt;=$E52),IF($I52="Milestone",IF(AND(OR($D52="Complete",$D52="Submitted"),$F52&gt;Sources!$C$5),"T",2),IF(AND(OR($D52="Complete",$D52="Submitted"),K$15&gt;Sources!$C$5),4,1)),"")))</x:f>
      </x:c>
      <x:c r="L52" s="35" t="str">
        <x:f>IF(OR($E52="",$F52=""),"",IF($I52="Either date",IF(OR(AND(L$15&lt;=$E52,L$15+6&gt;=$E52),AND(L$15&lt;=$F52,L$15+6&gt;=$F52)),3,""),IF(AND(L$15&lt;=$F52,L$15+6&gt;=$E52),IF($I52="Milestone",IF(AND(OR($D52="Complete",$D52="Submitted"),$F52&gt;Sources!$C$5),"T",2),IF(AND(OR($D52="Complete",$D52="Submitted"),L$15&gt;Sources!$C$5),4,1)),"")))</x:f>
      </x:c>
      <x:c r="M52" s="35" t="str">
        <x:f>IF(OR($E52="",$F52=""),"",IF($I52="Either date",IF(OR(AND(M$15&lt;=$E52,M$15+6&gt;=$E52),AND(M$15&lt;=$F52,M$15+6&gt;=$F52)),3,""),IF(AND(M$15&lt;=$F52,M$15+6&gt;=$E52),IF($I52="Milestone",IF(AND(OR($D52="Complete",$D52="Submitted"),$F52&gt;Sources!$C$5),"T",2),IF(AND(OR($D52="Complete",$D52="Submitted"),M$15&gt;Sources!$C$5),4,1)),"")))</x:f>
      </x:c>
      <x:c r="N52" s="35" t="str">
        <x:f>IF(OR($E52="",$F52=""),"",IF($I52="Either date",IF(OR(AND(N$15&lt;=$E52,N$15+6&gt;=$E52),AND(N$15&lt;=$F52,N$15+6&gt;=$F52)),3,""),IF(AND(N$15&lt;=$F52,N$15+6&gt;=$E52),IF($I52="Milestone",IF(AND(OR($D52="Complete",$D52="Submitted"),$F52&gt;Sources!$C$5),"T",2),IF(AND(OR($D52="Complete",$D52="Submitted"),N$15&gt;Sources!$C$5),4,1)),"")))</x:f>
      </x:c>
      <x:c r="O52" s="35" t="n">
        <x:f>IF(OR($E52="",$F52=""),"",IF($I52="Either date",IF(OR(AND(O$15&lt;=$E52,O$15+6&gt;=$E52),AND(O$15&lt;=$F52,O$15+6&gt;=$F52)),3,""),IF(AND(O$15&lt;=$F52,O$15+6&gt;=$E52),IF($I52="Milestone",IF(AND(OR($D52="Complete",$D52="Submitted"),$F52&gt;Sources!$C$5),"T",2),IF(AND(OR($D52="Complete",$D52="Submitted"),O$15&gt;Sources!$C$5),4,1)),"")))</x:f>
        <x:v>1</x:v>
      </x:c>
      <x:c r="P52" s="35" t="n">
        <x:f>IF(OR($E52="",$F52=""),"",IF($I52="Either date",IF(OR(AND(P$15&lt;=$E52,P$15+6&gt;=$E52),AND(P$15&lt;=$F52,P$15+6&gt;=$F52)),3,""),IF(AND(P$15&lt;=$F52,P$15+6&gt;=$E52),IF($I52="Milestone",IF(AND(OR($D52="Complete",$D52="Submitted"),$F52&gt;Sources!$C$5),"T",2),IF(AND(OR($D52="Complete",$D52="Submitted"),P$15&gt;Sources!$C$5),4,1)),"")))</x:f>
        <x:v>1</x:v>
      </x:c>
      <x:c r="Q52" s="35" t="str">
        <x:f>IF(OR($E52="",$F52=""),"",IF($I52="Either date",IF(OR(AND(Q$15&lt;=$E52,Q$15+6&gt;=$E52),AND(Q$15&lt;=$F52,Q$15+6&gt;=$F52)),3,""),IF(AND(Q$15&lt;=$F52,Q$15+6&gt;=$E52),IF($I52="Milestone",IF(AND(OR($D52="Complete",$D52="Submitted"),$F52&gt;Sources!$C$5),"T",2),IF(AND(OR($D52="Complete",$D52="Submitted"),Q$15&gt;Sources!$C$5),4,1)),"")))</x:f>
      </x:c>
      <x:c r="R52" s="35" t="str">
        <x:f>IF(OR($E52="",$F52=""),"",IF($I52="Either date",IF(OR(AND(R$15&lt;=$E52,R$15+6&gt;=$E52),AND(R$15&lt;=$F52,R$15+6&gt;=$F52)),3,""),IF(AND(R$15&lt;=$F52,R$15+6&gt;=$E52),IF($I52="Milestone",IF(AND(OR($D52="Complete",$D52="Submitted"),$F52&gt;Sources!$C$5),"T",2),IF(AND(OR($D52="Complete",$D52="Submitted"),R$15&gt;Sources!$C$5),4,1)),"")))</x:f>
      </x:c>
      <x:c r="S52" s="35" t="str">
        <x:f>IF(OR($E52="",$F52=""),"",IF($I52="Either date",IF(OR(AND(S$15&lt;=$E52,S$15+6&gt;=$E52),AND(S$15&lt;=$F52,S$15+6&gt;=$F52)),3,""),IF(AND(S$15&lt;=$F52,S$15+6&gt;=$E52),IF($I52="Milestone",IF(AND(OR($D52="Complete",$D52="Submitted"),$F52&gt;Sources!$C$5),"T",2),IF(AND(OR($D52="Complete",$D52="Submitted"),S$15&gt;Sources!$C$5),4,1)),"")))</x:f>
      </x:c>
      <x:c r="T52" s="35" t="str">
        <x:f>IF(OR($E52="",$F52=""),"",IF($I52="Either date",IF(OR(AND(T$15&lt;=$E52,T$15+6&gt;=$E52),AND(T$15&lt;=$F52,T$15+6&gt;=$F52)),3,""),IF(AND(T$15&lt;=$F52,T$15+6&gt;=$E52),IF($I52="Milestone",IF(AND(OR($D52="Complete",$D52="Submitted"),$F52&gt;Sources!$C$5),"T",2),IF(AND(OR($D52="Complete",$D52="Submitted"),T$15&gt;Sources!$C$5),4,1)),"")))</x:f>
      </x:c>
      <x:c r="U52" s="2"/>
      <x:c r="V52" s="2" t="str">
        <x:v>Present laboratory results and outstanding stakeholder review at the checkpoint.</x:v>
      </x:c>
      <x:c r="W52" s="18" t="str">
        <x:v>All linked TS</x:v>
      </x:c>
      <x:c r="X52" s="18" t="str">
        <x:v>Submitted Gantt</x:v>
      </x:c>
    </x:row>
    <x:row r="53" ht="38" customHeight="1">
      <x:c r="A53" s="36" t="str">
        <x:v>V5</x:v>
      </x:c>
      <x:c r="B53" s="37" t="str">
        <x:v>Analyze results against targets and document failures</x:v>
      </x:c>
      <x:c r="C53" s="37" t="str">
        <x:v>Joseph</x:v>
      </x:c>
      <x:c r="D53" s="36" t="str">
        <x:v>Planned</x:v>
      </x:c>
      <x:c r="E53" s="38" t="d">
        <x:v>2026-11-10T00:00:00.000Z</x:v>
      </x:c>
      <x:c r="F53" s="38" t="d">
        <x:v>2026-11-12T00:00:00.000Z</x:v>
      </x:c>
      <x:c r="G53" s="36" t="n">
        <x:f>IF(OR(E53="",F53="",I53="Either date"),"",IF(F53&lt;E53,"Review",F53-E53+1))</x:f>
        <x:v>3</x:v>
      </x:c>
      <x:c r="H53" s="37" t="str">
        <x:v>V4</x:v>
      </x:c>
      <x:c r="I53" s="37" t="str">
        <x:v>Window</x:v>
      </x:c>
      <x:c r="J53" s="35" t="str">
        <x:f>IF(OR($E53="",$F53=""),"",IF($I53="Either date",IF(OR(AND(J$15&lt;=$E53,J$15+6&gt;=$E53),AND(J$15&lt;=$F53,J$15+6&gt;=$F53)),3,""),IF(AND(J$15&lt;=$F53,J$15+6&gt;=$E53),IF($I53="Milestone",IF(AND(OR($D53="Complete",$D53="Submitted"),$F53&gt;Sources!$C$5),"T",2),IF(AND(OR($D53="Complete",$D53="Submitted"),J$15&gt;Sources!$C$5),4,1)),"")))</x:f>
      </x:c>
      <x:c r="K53" s="35" t="str">
        <x:f>IF(OR($E53="",$F53=""),"",IF($I53="Either date",IF(OR(AND(K$15&lt;=$E53,K$15+6&gt;=$E53),AND(K$15&lt;=$F53,K$15+6&gt;=$F53)),3,""),IF(AND(K$15&lt;=$F53,K$15+6&gt;=$E53),IF($I53="Milestone",IF(AND(OR($D53="Complete",$D53="Submitted"),$F53&gt;Sources!$C$5),"T",2),IF(AND(OR($D53="Complete",$D53="Submitted"),K$15&gt;Sources!$C$5),4,1)),"")))</x:f>
      </x:c>
      <x:c r="L53" s="35" t="str">
        <x:f>IF(OR($E53="",$F53=""),"",IF($I53="Either date",IF(OR(AND(L$15&lt;=$E53,L$15+6&gt;=$E53),AND(L$15&lt;=$F53,L$15+6&gt;=$F53)),3,""),IF(AND(L$15&lt;=$F53,L$15+6&gt;=$E53),IF($I53="Milestone",IF(AND(OR($D53="Complete",$D53="Submitted"),$F53&gt;Sources!$C$5),"T",2),IF(AND(OR($D53="Complete",$D53="Submitted"),L$15&gt;Sources!$C$5),4,1)),"")))</x:f>
      </x:c>
      <x:c r="M53" s="35" t="str">
        <x:f>IF(OR($E53="",$F53=""),"",IF($I53="Either date",IF(OR(AND(M$15&lt;=$E53,M$15+6&gt;=$E53),AND(M$15&lt;=$F53,M$15+6&gt;=$F53)),3,""),IF(AND(M$15&lt;=$F53,M$15+6&gt;=$E53),IF($I53="Milestone",IF(AND(OR($D53="Complete",$D53="Submitted"),$F53&gt;Sources!$C$5),"T",2),IF(AND(OR($D53="Complete",$D53="Submitted"),M$15&gt;Sources!$C$5),4,1)),"")))</x:f>
      </x:c>
      <x:c r="N53" s="35" t="str">
        <x:f>IF(OR($E53="",$F53=""),"",IF($I53="Either date",IF(OR(AND(N$15&lt;=$E53,N$15+6&gt;=$E53),AND(N$15&lt;=$F53,N$15+6&gt;=$F53)),3,""),IF(AND(N$15&lt;=$F53,N$15+6&gt;=$E53),IF($I53="Milestone",IF(AND(OR($D53="Complete",$D53="Submitted"),$F53&gt;Sources!$C$5),"T",2),IF(AND(OR($D53="Complete",$D53="Submitted"),N$15&gt;Sources!$C$5),4,1)),"")))</x:f>
      </x:c>
      <x:c r="O53" s="35" t="str">
        <x:f>IF(OR($E53="",$F53=""),"",IF($I53="Either date",IF(OR(AND(O$15&lt;=$E53,O$15+6&gt;=$E53),AND(O$15&lt;=$F53,O$15+6&gt;=$F53)),3,""),IF(AND(O$15&lt;=$F53,O$15+6&gt;=$E53),IF($I53="Milestone",IF(AND(OR($D53="Complete",$D53="Submitted"),$F53&gt;Sources!$C$5),"T",2),IF(AND(OR($D53="Complete",$D53="Submitted"),O$15&gt;Sources!$C$5),4,1)),"")))</x:f>
      </x:c>
      <x:c r="P53" s="35" t="n">
        <x:f>IF(OR($E53="",$F53=""),"",IF($I53="Either date",IF(OR(AND(P$15&lt;=$E53,P$15+6&gt;=$E53),AND(P$15&lt;=$F53,P$15+6&gt;=$F53)),3,""),IF(AND(P$15&lt;=$F53,P$15+6&gt;=$E53),IF($I53="Milestone",IF(AND(OR($D53="Complete",$D53="Submitted"),$F53&gt;Sources!$C$5),"T",2),IF(AND(OR($D53="Complete",$D53="Submitted"),P$15&gt;Sources!$C$5),4,1)),"")))</x:f>
        <x:v>1</x:v>
      </x:c>
      <x:c r="Q53" s="35" t="str">
        <x:f>IF(OR($E53="",$F53=""),"",IF($I53="Either date",IF(OR(AND(Q$15&lt;=$E53,Q$15+6&gt;=$E53),AND(Q$15&lt;=$F53,Q$15+6&gt;=$F53)),3,""),IF(AND(Q$15&lt;=$F53,Q$15+6&gt;=$E53),IF($I53="Milestone",IF(AND(OR($D53="Complete",$D53="Submitted"),$F53&gt;Sources!$C$5),"T",2),IF(AND(OR($D53="Complete",$D53="Submitted"),Q$15&gt;Sources!$C$5),4,1)),"")))</x:f>
      </x:c>
      <x:c r="R53" s="35" t="str">
        <x:f>IF(OR($E53="",$F53=""),"",IF($I53="Either date",IF(OR(AND(R$15&lt;=$E53,R$15+6&gt;=$E53),AND(R$15&lt;=$F53,R$15+6&gt;=$F53)),3,""),IF(AND(R$15&lt;=$F53,R$15+6&gt;=$E53),IF($I53="Milestone",IF(AND(OR($D53="Complete",$D53="Submitted"),$F53&gt;Sources!$C$5),"T",2),IF(AND(OR($D53="Complete",$D53="Submitted"),R$15&gt;Sources!$C$5),4,1)),"")))</x:f>
      </x:c>
      <x:c r="S53" s="35" t="str">
        <x:f>IF(OR($E53="",$F53=""),"",IF($I53="Either date",IF(OR(AND(S$15&lt;=$E53,S$15+6&gt;=$E53),AND(S$15&lt;=$F53,S$15+6&gt;=$F53)),3,""),IF(AND(S$15&lt;=$F53,S$15+6&gt;=$E53),IF($I53="Milestone",IF(AND(OR($D53="Complete",$D53="Submitted"),$F53&gt;Sources!$C$5),"T",2),IF(AND(OR($D53="Complete",$D53="Submitted"),S$15&gt;Sources!$C$5),4,1)),"")))</x:f>
      </x:c>
      <x:c r="T53" s="35" t="str">
        <x:f>IF(OR($E53="",$F53=""),"",IF($I53="Either date",IF(OR(AND(T$15&lt;=$E53,T$15+6&gt;=$E53),AND(T$15&lt;=$F53,T$15+6&gt;=$F53)),3,""),IF(AND(T$15&lt;=$F53,T$15+6&gt;=$E53),IF($I53="Milestone",IF(AND(OR($D53="Complete",$D53="Submitted"),$F53&gt;Sources!$C$5),"T",2),IF(AND(OR($D53="Complete",$D53="Submitted"),T$15&gt;Sources!$C$5),4,1)),"")))</x:f>
      </x:c>
      <x:c r="U53" s="2"/>
      <x:c r="V53" s="2" t="str">
        <x:v>Compare available lab results with targets and record failures.</x:v>
      </x:c>
      <x:c r="W53" s="18" t="str">
        <x:v>All linked TS</x:v>
      </x:c>
      <x:c r="X53" s="18" t="str">
        <x:v>Submitted Gantt</x:v>
      </x:c>
    </x:row>
    <x:row r="54" ht="38" customHeight="1">
      <x:c r="A54" s="2" t="str">
        <x:v>V6</x:v>
      </x:c>
      <x:c r="B54" s="18" t="str">
        <x:v>Finalize data analysis and improvement priorities</x:v>
      </x:c>
      <x:c r="C54" s="18" t="str">
        <x:v>Ayan</x:v>
      </x:c>
      <x:c r="D54" s="2" t="str">
        <x:v>Planned</x:v>
      </x:c>
      <x:c r="E54" s="15" t="d">
        <x:v>2026-11-13T00:00:00.000Z</x:v>
      </x:c>
      <x:c r="F54" s="15" t="d">
        <x:v>2026-11-16T00:00:00.000Z</x:v>
      </x:c>
      <x:c r="G54" s="2" t="n">
        <x:f>IF(OR(E54="",F54="",I54="Either date"),"",IF(F54&lt;E54,"Review",F54-E54+1))</x:f>
        <x:v>4</x:v>
      </x:c>
      <x:c r="H54" s="18" t="str">
        <x:v>V5</x:v>
      </x:c>
      <x:c r="I54" s="18" t="str">
        <x:v>Window</x:v>
      </x:c>
      <x:c r="J54" s="35" t="str">
        <x:f>IF(OR($E54="",$F54=""),"",IF($I54="Either date",IF(OR(AND(J$15&lt;=$E54,J$15+6&gt;=$E54),AND(J$15&lt;=$F54,J$15+6&gt;=$F54)),3,""),IF(AND(J$15&lt;=$F54,J$15+6&gt;=$E54),IF($I54="Milestone",IF(AND(OR($D54="Complete",$D54="Submitted"),$F54&gt;Sources!$C$5),"T",2),IF(AND(OR($D54="Complete",$D54="Submitted"),J$15&gt;Sources!$C$5),4,1)),"")))</x:f>
      </x:c>
      <x:c r="K54" s="35" t="str">
        <x:f>IF(OR($E54="",$F54=""),"",IF($I54="Either date",IF(OR(AND(K$15&lt;=$E54,K$15+6&gt;=$E54),AND(K$15&lt;=$F54,K$15+6&gt;=$F54)),3,""),IF(AND(K$15&lt;=$F54,K$15+6&gt;=$E54),IF($I54="Milestone",IF(AND(OR($D54="Complete",$D54="Submitted"),$F54&gt;Sources!$C$5),"T",2),IF(AND(OR($D54="Complete",$D54="Submitted"),K$15&gt;Sources!$C$5),4,1)),"")))</x:f>
      </x:c>
      <x:c r="L54" s="35" t="str">
        <x:f>IF(OR($E54="",$F54=""),"",IF($I54="Either date",IF(OR(AND(L$15&lt;=$E54,L$15+6&gt;=$E54),AND(L$15&lt;=$F54,L$15+6&gt;=$F54)),3,""),IF(AND(L$15&lt;=$F54,L$15+6&gt;=$E54),IF($I54="Milestone",IF(AND(OR($D54="Complete",$D54="Submitted"),$F54&gt;Sources!$C$5),"T",2),IF(AND(OR($D54="Complete",$D54="Submitted"),L$15&gt;Sources!$C$5),4,1)),"")))</x:f>
      </x:c>
      <x:c r="M54" s="35" t="str">
        <x:f>IF(OR($E54="",$F54=""),"",IF($I54="Either date",IF(OR(AND(M$15&lt;=$E54,M$15+6&gt;=$E54),AND(M$15&lt;=$F54,M$15+6&gt;=$F54)),3,""),IF(AND(M$15&lt;=$F54,M$15+6&gt;=$E54),IF($I54="Milestone",IF(AND(OR($D54="Complete",$D54="Submitted"),$F54&gt;Sources!$C$5),"T",2),IF(AND(OR($D54="Complete",$D54="Submitted"),M$15&gt;Sources!$C$5),4,1)),"")))</x:f>
      </x:c>
      <x:c r="N54" s="35" t="str">
        <x:f>IF(OR($E54="",$F54=""),"",IF($I54="Either date",IF(OR(AND(N$15&lt;=$E54,N$15+6&gt;=$E54),AND(N$15&lt;=$F54,N$15+6&gt;=$F54)),3,""),IF(AND(N$15&lt;=$F54,N$15+6&gt;=$E54),IF($I54="Milestone",IF(AND(OR($D54="Complete",$D54="Submitted"),$F54&gt;Sources!$C$5),"T",2),IF(AND(OR($D54="Complete",$D54="Submitted"),N$15&gt;Sources!$C$5),4,1)),"")))</x:f>
      </x:c>
      <x:c r="O54" s="35" t="str">
        <x:f>IF(OR($E54="",$F54=""),"",IF($I54="Either date",IF(OR(AND(O$15&lt;=$E54,O$15+6&gt;=$E54),AND(O$15&lt;=$F54,O$15+6&gt;=$F54)),3,""),IF(AND(O$15&lt;=$F54,O$15+6&gt;=$E54),IF($I54="Milestone",IF(AND(OR($D54="Complete",$D54="Submitted"),$F54&gt;Sources!$C$5),"T",2),IF(AND(OR($D54="Complete",$D54="Submitted"),O$15&gt;Sources!$C$5),4,1)),"")))</x:f>
      </x:c>
      <x:c r="P54" s="35" t="n">
        <x:f>IF(OR($E54="",$F54=""),"",IF($I54="Either date",IF(OR(AND(P$15&lt;=$E54,P$15+6&gt;=$E54),AND(P$15&lt;=$F54,P$15+6&gt;=$F54)),3,""),IF(AND(P$15&lt;=$F54,P$15+6&gt;=$E54),IF($I54="Milestone",IF(AND(OR($D54="Complete",$D54="Submitted"),$F54&gt;Sources!$C$5),"T",2),IF(AND(OR($D54="Complete",$D54="Submitted"),P$15&gt;Sources!$C$5),4,1)),"")))</x:f>
        <x:v>1</x:v>
      </x:c>
      <x:c r="Q54" s="35" t="n">
        <x:f>IF(OR($E54="",$F54=""),"",IF($I54="Either date",IF(OR(AND(Q$15&lt;=$E54,Q$15+6&gt;=$E54),AND(Q$15&lt;=$F54,Q$15+6&gt;=$F54)),3,""),IF(AND(Q$15&lt;=$F54,Q$15+6&gt;=$E54),IF($I54="Milestone",IF(AND(OR($D54="Complete",$D54="Submitted"),$F54&gt;Sources!$C$5),"T",2),IF(AND(OR($D54="Complete",$D54="Submitted"),Q$15&gt;Sources!$C$5),4,1)),"")))</x:f>
        <x:v>1</x:v>
      </x:c>
      <x:c r="R54" s="35" t="str">
        <x:f>IF(OR($E54="",$F54=""),"",IF($I54="Either date",IF(OR(AND(R$15&lt;=$E54,R$15+6&gt;=$E54),AND(R$15&lt;=$F54,R$15+6&gt;=$F54)),3,""),IF(AND(R$15&lt;=$F54,R$15+6&gt;=$E54),IF($I54="Milestone",IF(AND(OR($D54="Complete",$D54="Submitted"),$F54&gt;Sources!$C$5),"T",2),IF(AND(OR($D54="Complete",$D54="Submitted"),R$15&gt;Sources!$C$5),4,1)),"")))</x:f>
      </x:c>
      <x:c r="S54" s="35" t="str">
        <x:f>IF(OR($E54="",$F54=""),"",IF($I54="Either date",IF(OR(AND(S$15&lt;=$E54,S$15+6&gt;=$E54),AND(S$15&lt;=$F54,S$15+6&gt;=$F54)),3,""),IF(AND(S$15&lt;=$F54,S$15+6&gt;=$E54),IF($I54="Milestone",IF(AND(OR($D54="Complete",$D54="Submitted"),$F54&gt;Sources!$C$5),"T",2),IF(AND(OR($D54="Complete",$D54="Submitted"),S$15&gt;Sources!$C$5),4,1)),"")))</x:f>
      </x:c>
      <x:c r="T54" s="35" t="str">
        <x:f>IF(OR($E54="",$F54=""),"",IF($I54="Either date",IF(OR(AND(T$15&lt;=$E54,T$15+6&gt;=$E54),AND(T$15&lt;=$F54,T$15+6&gt;=$F54)),3,""),IF(AND(T$15&lt;=$F54,T$15+6&gt;=$E54),IF($I54="Milestone",IF(AND(OR($D54="Complete",$D54="Submitted"),$F54&gt;Sources!$C$5),"T",2),IF(AND(OR($D54="Complete",$D54="Submitted"),T$15&gt;Sources!$C$5),4,1)),"")))</x:f>
      </x:c>
      <x:c r="U54" s="2"/>
      <x:c r="V54" s="2" t="str"/>
      <x:c r="W54" s="18" t="str">
        <x:v>All FS / TS</x:v>
      </x:c>
      <x:c r="X54" s="18" t="str">
        <x:v>Submitted Gantt</x:v>
      </x:c>
    </x:row>
    <x:row r="55" ht="38" customHeight="1">
      <x:c r="A55" s="36" t="str">
        <x:v>V7</x:v>
      </x:c>
      <x:c r="B55" s="37" t="str">
        <x:v>Implement priority fixes and repeat affected tests</x:v>
      </x:c>
      <x:c r="C55" s="37" t="str">
        <x:v>All four</x:v>
      </x:c>
      <x:c r="D55" s="36" t="str">
        <x:v>Planned</x:v>
      </x:c>
      <x:c r="E55" s="38" t="d">
        <x:v>2026-11-17T00:00:00.000Z</x:v>
      </x:c>
      <x:c r="F55" s="38" t="d">
        <x:v>2026-11-23T00:00:00.000Z</x:v>
      </x:c>
      <x:c r="G55" s="36" t="n">
        <x:f>IF(OR(E55="",F55="",I55="Either date"),"",IF(F55&lt;E55,"Review",F55-E55+1))</x:f>
        <x:v>7</x:v>
      </x:c>
      <x:c r="H55" s="37" t="str">
        <x:v>V6</x:v>
      </x:c>
      <x:c r="I55" s="37" t="str">
        <x:v>Window</x:v>
      </x:c>
      <x:c r="J55" s="35" t="str">
        <x:f>IF(OR($E55="",$F55=""),"",IF($I55="Either date",IF(OR(AND(J$15&lt;=$E55,J$15+6&gt;=$E55),AND(J$15&lt;=$F55,J$15+6&gt;=$F55)),3,""),IF(AND(J$15&lt;=$F55,J$15+6&gt;=$E55),IF($I55="Milestone",IF(AND(OR($D55="Complete",$D55="Submitted"),$F55&gt;Sources!$C$5),"T",2),IF(AND(OR($D55="Complete",$D55="Submitted"),J$15&gt;Sources!$C$5),4,1)),"")))</x:f>
      </x:c>
      <x:c r="K55" s="35" t="str">
        <x:f>IF(OR($E55="",$F55=""),"",IF($I55="Either date",IF(OR(AND(K$15&lt;=$E55,K$15+6&gt;=$E55),AND(K$15&lt;=$F55,K$15+6&gt;=$F55)),3,""),IF(AND(K$15&lt;=$F55,K$15+6&gt;=$E55),IF($I55="Milestone",IF(AND(OR($D55="Complete",$D55="Submitted"),$F55&gt;Sources!$C$5),"T",2),IF(AND(OR($D55="Complete",$D55="Submitted"),K$15&gt;Sources!$C$5),4,1)),"")))</x:f>
      </x:c>
      <x:c r="L55" s="35" t="str">
        <x:f>IF(OR($E55="",$F55=""),"",IF($I55="Either date",IF(OR(AND(L$15&lt;=$E55,L$15+6&gt;=$E55),AND(L$15&lt;=$F55,L$15+6&gt;=$F55)),3,""),IF(AND(L$15&lt;=$F55,L$15+6&gt;=$E55),IF($I55="Milestone",IF(AND(OR($D55="Complete",$D55="Submitted"),$F55&gt;Sources!$C$5),"T",2),IF(AND(OR($D55="Complete",$D55="Submitted"),L$15&gt;Sources!$C$5),4,1)),"")))</x:f>
      </x:c>
      <x:c r="M55" s="35" t="str">
        <x:f>IF(OR($E55="",$F55=""),"",IF($I55="Either date",IF(OR(AND(M$15&lt;=$E55,M$15+6&gt;=$E55),AND(M$15&lt;=$F55,M$15+6&gt;=$F55)),3,""),IF(AND(M$15&lt;=$F55,M$15+6&gt;=$E55),IF($I55="Milestone",IF(AND(OR($D55="Complete",$D55="Submitted"),$F55&gt;Sources!$C$5),"T",2),IF(AND(OR($D55="Complete",$D55="Submitted"),M$15&gt;Sources!$C$5),4,1)),"")))</x:f>
      </x:c>
      <x:c r="N55" s="35" t="str">
        <x:f>IF(OR($E55="",$F55=""),"",IF($I55="Either date",IF(OR(AND(N$15&lt;=$E55,N$15+6&gt;=$E55),AND(N$15&lt;=$F55,N$15+6&gt;=$F55)),3,""),IF(AND(N$15&lt;=$F55,N$15+6&gt;=$E55),IF($I55="Milestone",IF(AND(OR($D55="Complete",$D55="Submitted"),$F55&gt;Sources!$C$5),"T",2),IF(AND(OR($D55="Complete",$D55="Submitted"),N$15&gt;Sources!$C$5),4,1)),"")))</x:f>
      </x:c>
      <x:c r="O55" s="35" t="str">
        <x:f>IF(OR($E55="",$F55=""),"",IF($I55="Either date",IF(OR(AND(O$15&lt;=$E55,O$15+6&gt;=$E55),AND(O$15&lt;=$F55,O$15+6&gt;=$F55)),3,""),IF(AND(O$15&lt;=$F55,O$15+6&gt;=$E55),IF($I55="Milestone",IF(AND(OR($D55="Complete",$D55="Submitted"),$F55&gt;Sources!$C$5),"T",2),IF(AND(OR($D55="Complete",$D55="Submitted"),O$15&gt;Sources!$C$5),4,1)),"")))</x:f>
      </x:c>
      <x:c r="P55" s="35" t="str">
        <x:f>IF(OR($E55="",$F55=""),"",IF($I55="Either date",IF(OR(AND(P$15&lt;=$E55,P$15+6&gt;=$E55),AND(P$15&lt;=$F55,P$15+6&gt;=$F55)),3,""),IF(AND(P$15&lt;=$F55,P$15+6&gt;=$E55),IF($I55="Milestone",IF(AND(OR($D55="Complete",$D55="Submitted"),$F55&gt;Sources!$C$5),"T",2),IF(AND(OR($D55="Complete",$D55="Submitted"),P$15&gt;Sources!$C$5),4,1)),"")))</x:f>
      </x:c>
      <x:c r="Q55" s="35" t="n">
        <x:f>IF(OR($E55="",$F55=""),"",IF($I55="Either date",IF(OR(AND(Q$15&lt;=$E55,Q$15+6&gt;=$E55),AND(Q$15&lt;=$F55,Q$15+6&gt;=$F55)),3,""),IF(AND(Q$15&lt;=$F55,Q$15+6&gt;=$E55),IF($I55="Milestone",IF(AND(OR($D55="Complete",$D55="Submitted"),$F55&gt;Sources!$C$5),"T",2),IF(AND(OR($D55="Complete",$D55="Submitted"),Q$15&gt;Sources!$C$5),4,1)),"")))</x:f>
        <x:v>1</x:v>
      </x:c>
      <x:c r="R55" s="35" t="n">
        <x:f>IF(OR($E55="",$F55=""),"",IF($I55="Either date",IF(OR(AND(R$15&lt;=$E55,R$15+6&gt;=$E55),AND(R$15&lt;=$F55,R$15+6&gt;=$F55)),3,""),IF(AND(R$15&lt;=$F55,R$15+6&gt;=$E55),IF($I55="Milestone",IF(AND(OR($D55="Complete",$D55="Submitted"),$F55&gt;Sources!$C$5),"T",2),IF(AND(OR($D55="Complete",$D55="Submitted"),R$15&gt;Sources!$C$5),4,1)),"")))</x:f>
        <x:v>1</x:v>
      </x:c>
      <x:c r="S55" s="35" t="str">
        <x:f>IF(OR($E55="",$F55=""),"",IF($I55="Either date",IF(OR(AND(S$15&lt;=$E55,S$15+6&gt;=$E55),AND(S$15&lt;=$F55,S$15+6&gt;=$F55)),3,""),IF(AND(S$15&lt;=$F55,S$15+6&gt;=$E55),IF($I55="Milestone",IF(AND(OR($D55="Complete",$D55="Submitted"),$F55&gt;Sources!$C$5),"T",2),IF(AND(OR($D55="Complete",$D55="Submitted"),S$15&gt;Sources!$C$5),4,1)),"")))</x:f>
      </x:c>
      <x:c r="T55" s="35" t="str">
        <x:f>IF(OR($E55="",$F55=""),"",IF($I55="Either date",IF(OR(AND(T$15&lt;=$E55,T$15+6&gt;=$E55),AND(T$15&lt;=$F55,T$15+6&gt;=$F55)),3,""),IF(AND(T$15&lt;=$F55,T$15+6&gt;=$E55),IF($I55="Milestone",IF(AND(OR($D55="Complete",$D55="Submitted"),$F55&gt;Sources!$C$5),"T",2),IF(AND(OR($D55="Complete",$D55="Submitted"),T$15&gt;Sources!$C$5),4,1)),"")))</x:f>
      </x:c>
      <x:c r="U55" s="2"/>
      <x:c r="V55" s="2" t="str"/>
      <x:c r="W55" s="18" t="str">
        <x:v>Failed TS criteria</x:v>
      </x:c>
      <x:c r="X55" s="18" t="str">
        <x:v>Submitted Gantt</x:v>
      </x:c>
    </x:row>
    <x:row r="56" ht="38" customHeight="1">
      <x:c r="A56" s="2" t="str">
        <x:v>M6</x:v>
      </x:c>
      <x:c r="B56" s="18" t="str">
        <x:v>Team milestone: design and test evidence frozen</x:v>
      </x:c>
      <x:c r="C56" s="18" t="str">
        <x:v>All four</x:v>
      </x:c>
      <x:c r="D56" s="2" t="str">
        <x:v>Planned</x:v>
      </x:c>
      <x:c r="E56" s="15" t="d">
        <x:v>2026-11-23T00:00:00.000Z</x:v>
      </x:c>
      <x:c r="F56" s="15" t="d">
        <x:v>2026-11-23T00:00:00.000Z</x:v>
      </x:c>
      <x:c r="G56" s="2" t="n">
        <x:f>IF(OR(E56="",F56="",I56="Either date"),"",IF(F56&lt;E56,"Review",F56-E56+1))</x:f>
        <x:v>1</x:v>
      </x:c>
      <x:c r="H56" s="18" t="str">
        <x:v>V7</x:v>
      </x:c>
      <x:c r="I56" s="18" t="str">
        <x:v>Milestone</x:v>
      </x:c>
      <x:c r="J56" s="35" t="str">
        <x:f>IF(OR($E56="",$F56=""),"",IF($I56="Either date",IF(OR(AND(J$15&lt;=$E56,J$15+6&gt;=$E56),AND(J$15&lt;=$F56,J$15+6&gt;=$F56)),3,""),IF(AND(J$15&lt;=$F56,J$15+6&gt;=$E56),IF($I56="Milestone",IF(AND(OR($D56="Complete",$D56="Submitted"),$F56&gt;Sources!$C$5),"T",2),IF(AND(OR($D56="Complete",$D56="Submitted"),J$15&gt;Sources!$C$5),4,1)),"")))</x:f>
      </x:c>
      <x:c r="K56" s="35" t="str">
        <x:f>IF(OR($E56="",$F56=""),"",IF($I56="Either date",IF(OR(AND(K$15&lt;=$E56,K$15+6&gt;=$E56),AND(K$15&lt;=$F56,K$15+6&gt;=$F56)),3,""),IF(AND(K$15&lt;=$F56,K$15+6&gt;=$E56),IF($I56="Milestone",IF(AND(OR($D56="Complete",$D56="Submitted"),$F56&gt;Sources!$C$5),"T",2),IF(AND(OR($D56="Complete",$D56="Submitted"),K$15&gt;Sources!$C$5),4,1)),"")))</x:f>
      </x:c>
      <x:c r="L56" s="35" t="str">
        <x:f>IF(OR($E56="",$F56=""),"",IF($I56="Either date",IF(OR(AND(L$15&lt;=$E56,L$15+6&gt;=$E56),AND(L$15&lt;=$F56,L$15+6&gt;=$F56)),3,""),IF(AND(L$15&lt;=$F56,L$15+6&gt;=$E56),IF($I56="Milestone",IF(AND(OR($D56="Complete",$D56="Submitted"),$F56&gt;Sources!$C$5),"T",2),IF(AND(OR($D56="Complete",$D56="Submitted"),L$15&gt;Sources!$C$5),4,1)),"")))</x:f>
      </x:c>
      <x:c r="M56" s="35" t="str">
        <x:f>IF(OR($E56="",$F56=""),"",IF($I56="Either date",IF(OR(AND(M$15&lt;=$E56,M$15+6&gt;=$E56),AND(M$15&lt;=$F56,M$15+6&gt;=$F56)),3,""),IF(AND(M$15&lt;=$F56,M$15+6&gt;=$E56),IF($I56="Milestone",IF(AND(OR($D56="Complete",$D56="Submitted"),$F56&gt;Sources!$C$5),"T",2),IF(AND(OR($D56="Complete",$D56="Submitted"),M$15&gt;Sources!$C$5),4,1)),"")))</x:f>
      </x:c>
      <x:c r="N56" s="35" t="str">
        <x:f>IF(OR($E56="",$F56=""),"",IF($I56="Either date",IF(OR(AND(N$15&lt;=$E56,N$15+6&gt;=$E56),AND(N$15&lt;=$F56,N$15+6&gt;=$F56)),3,""),IF(AND(N$15&lt;=$F56,N$15+6&gt;=$E56),IF($I56="Milestone",IF(AND(OR($D56="Complete",$D56="Submitted"),$F56&gt;Sources!$C$5),"T",2),IF(AND(OR($D56="Complete",$D56="Submitted"),N$15&gt;Sources!$C$5),4,1)),"")))</x:f>
      </x:c>
      <x:c r="O56" s="35" t="str">
        <x:f>IF(OR($E56="",$F56=""),"",IF($I56="Either date",IF(OR(AND(O$15&lt;=$E56,O$15+6&gt;=$E56),AND(O$15&lt;=$F56,O$15+6&gt;=$F56)),3,""),IF(AND(O$15&lt;=$F56,O$15+6&gt;=$E56),IF($I56="Milestone",IF(AND(OR($D56="Complete",$D56="Submitted"),$F56&gt;Sources!$C$5),"T",2),IF(AND(OR($D56="Complete",$D56="Submitted"),O$15&gt;Sources!$C$5),4,1)),"")))</x:f>
      </x:c>
      <x:c r="P56" s="35" t="str">
        <x:f>IF(OR($E56="",$F56=""),"",IF($I56="Either date",IF(OR(AND(P$15&lt;=$E56,P$15+6&gt;=$E56),AND(P$15&lt;=$F56,P$15+6&gt;=$F56)),3,""),IF(AND(P$15&lt;=$F56,P$15+6&gt;=$E56),IF($I56="Milestone",IF(AND(OR($D56="Complete",$D56="Submitted"),$F56&gt;Sources!$C$5),"T",2),IF(AND(OR($D56="Complete",$D56="Submitted"),P$15&gt;Sources!$C$5),4,1)),"")))</x:f>
      </x:c>
      <x:c r="Q56" s="35" t="str">
        <x:f>IF(OR($E56="",$F56=""),"",IF($I56="Either date",IF(OR(AND(Q$15&lt;=$E56,Q$15+6&gt;=$E56),AND(Q$15&lt;=$F56,Q$15+6&gt;=$F56)),3,""),IF(AND(Q$15&lt;=$F56,Q$15+6&gt;=$E56),IF($I56="Milestone",IF(AND(OR($D56="Complete",$D56="Submitted"),$F56&gt;Sources!$C$5),"T",2),IF(AND(OR($D56="Complete",$D56="Submitted"),Q$15&gt;Sources!$C$5),4,1)),"")))</x:f>
      </x:c>
      <x:c r="R56" s="35" t="n">
        <x:f>IF(OR($E56="",$F56=""),"",IF($I56="Either date",IF(OR(AND(R$15&lt;=$E56,R$15+6&gt;=$E56),AND(R$15&lt;=$F56,R$15+6&gt;=$F56)),3,""),IF(AND(R$15&lt;=$F56,R$15+6&gt;=$E56),IF($I56="Milestone",IF(AND(OR($D56="Complete",$D56="Submitted"),$F56&gt;Sources!$C$5),"T",2),IF(AND(OR($D56="Complete",$D56="Submitted"),R$15&gt;Sources!$C$5),4,1)),"")))</x:f>
        <x:v>2</x:v>
      </x:c>
      <x:c r="S56" s="35" t="str">
        <x:f>IF(OR($E56="",$F56=""),"",IF($I56="Either date",IF(OR(AND(S$15&lt;=$E56,S$15+6&gt;=$E56),AND(S$15&lt;=$F56,S$15+6&gt;=$F56)),3,""),IF(AND(S$15&lt;=$F56,S$15+6&gt;=$E56),IF($I56="Milestone",IF(AND(OR($D56="Complete",$D56="Submitted"),$F56&gt;Sources!$C$5),"T",2),IF(AND(OR($D56="Complete",$D56="Submitted"),S$15&gt;Sources!$C$5),4,1)),"")))</x:f>
      </x:c>
      <x:c r="T56" s="35" t="str">
        <x:f>IF(OR($E56="",$F56=""),"",IF($I56="Either date",IF(OR(AND(T$15&lt;=$E56,T$15+6&gt;=$E56),AND(T$15&lt;=$F56,T$15+6&gt;=$F56)),3,""),IF(AND(T$15&lt;=$F56,T$15+6&gt;=$E56),IF($I56="Milestone",IF(AND(OR($D56="Complete",$D56="Submitted"),$F56&gt;Sources!$C$5),"T",2),IF(AND(OR($D56="Complete",$D56="Submitted"),T$15&gt;Sources!$C$5),4,1)),"")))</x:f>
      </x:c>
      <x:c r="U56" s="2"/>
      <x:c r="V56" s="2" t="str"/>
      <x:c r="W56" s="18" t="str">
        <x:v>All FS / TS</x:v>
      </x:c>
      <x:c r="X56" s="18" t="str">
        <x:v>Submitted Gantt</x:v>
      </x:c>
    </x:row>
    <x:row r="57" ht="24" customHeight="1">
      <x:c r="A57" s="33" t="str">
        <x:v>Stakeholder presentation and final deliverables</x:v>
      </x:c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2"/>
      <x:c r="V57" s="2"/>
      <x:c r="W57" s="18"/>
      <x:c r="X57" s="18"/>
    </x:row>
    <x:row r="58" ht="38" customHeight="1">
      <x:c r="A58" s="36" t="str">
        <x:v>D1</x:v>
      </x:c>
      <x:c r="B58" s="37" t="str">
        <x:v>Prepare stakeholder MVP presentation materials</x:v>
      </x:c>
      <x:c r="C58" s="37" t="str">
        <x:v>Joseph</x:v>
      </x:c>
      <x:c r="D58" s="36" t="str">
        <x:v>Planned</x:v>
      </x:c>
      <x:c r="E58" s="38" t="d">
        <x:v>2026-11-17T00:00:00.000Z</x:v>
      </x:c>
      <x:c r="F58" s="38" t="d">
        <x:v>2026-11-19T00:00:00.000Z</x:v>
      </x:c>
      <x:c r="G58" s="36" t="n">
        <x:f>IF(OR(E58="",F58="",I58="Either date"),"",IF(F58&lt;E58,"Review",F58-E58+1))</x:f>
        <x:v>3</x:v>
      </x:c>
      <x:c r="H58" s="37" t="str">
        <x:v>V6</x:v>
      </x:c>
      <x:c r="I58" s="37" t="str">
        <x:v>Window</x:v>
      </x:c>
      <x:c r="J58" s="35" t="str">
        <x:f>IF(OR($E58="",$F58=""),"",IF($I58="Either date",IF(OR(AND(J$15&lt;=$E58,J$15+6&gt;=$E58),AND(J$15&lt;=$F58,J$15+6&gt;=$F58)),3,""),IF(AND(J$15&lt;=$F58,J$15+6&gt;=$E58),IF($I58="Milestone",IF(AND(OR($D58="Complete",$D58="Submitted"),$F58&gt;Sources!$C$5),"T",2),IF(AND(OR($D58="Complete",$D58="Submitted"),J$15&gt;Sources!$C$5),4,1)),"")))</x:f>
      </x:c>
      <x:c r="K58" s="35" t="str">
        <x:f>IF(OR($E58="",$F58=""),"",IF($I58="Either date",IF(OR(AND(K$15&lt;=$E58,K$15+6&gt;=$E58),AND(K$15&lt;=$F58,K$15+6&gt;=$F58)),3,""),IF(AND(K$15&lt;=$F58,K$15+6&gt;=$E58),IF($I58="Milestone",IF(AND(OR($D58="Complete",$D58="Submitted"),$F58&gt;Sources!$C$5),"T",2),IF(AND(OR($D58="Complete",$D58="Submitted"),K$15&gt;Sources!$C$5),4,1)),"")))</x:f>
      </x:c>
      <x:c r="L58" s="35" t="str">
        <x:f>IF(OR($E58="",$F58=""),"",IF($I58="Either date",IF(OR(AND(L$15&lt;=$E58,L$15+6&gt;=$E58),AND(L$15&lt;=$F58,L$15+6&gt;=$F58)),3,""),IF(AND(L$15&lt;=$F58,L$15+6&gt;=$E58),IF($I58="Milestone",IF(AND(OR($D58="Complete",$D58="Submitted"),$F58&gt;Sources!$C$5),"T",2),IF(AND(OR($D58="Complete",$D58="Submitted"),L$15&gt;Sources!$C$5),4,1)),"")))</x:f>
      </x:c>
      <x:c r="M58" s="35" t="str">
        <x:f>IF(OR($E58="",$F58=""),"",IF($I58="Either date",IF(OR(AND(M$15&lt;=$E58,M$15+6&gt;=$E58),AND(M$15&lt;=$F58,M$15+6&gt;=$F58)),3,""),IF(AND(M$15&lt;=$F58,M$15+6&gt;=$E58),IF($I58="Milestone",IF(AND(OR($D58="Complete",$D58="Submitted"),$F58&gt;Sources!$C$5),"T",2),IF(AND(OR($D58="Complete",$D58="Submitted"),M$15&gt;Sources!$C$5),4,1)),"")))</x:f>
      </x:c>
      <x:c r="N58" s="35" t="str">
        <x:f>IF(OR($E58="",$F58=""),"",IF($I58="Either date",IF(OR(AND(N$15&lt;=$E58,N$15+6&gt;=$E58),AND(N$15&lt;=$F58,N$15+6&gt;=$F58)),3,""),IF(AND(N$15&lt;=$F58,N$15+6&gt;=$E58),IF($I58="Milestone",IF(AND(OR($D58="Complete",$D58="Submitted"),$F58&gt;Sources!$C$5),"T",2),IF(AND(OR($D58="Complete",$D58="Submitted"),N$15&gt;Sources!$C$5),4,1)),"")))</x:f>
      </x:c>
      <x:c r="O58" s="35" t="str">
        <x:f>IF(OR($E58="",$F58=""),"",IF($I58="Either date",IF(OR(AND(O$15&lt;=$E58,O$15+6&gt;=$E58),AND(O$15&lt;=$F58,O$15+6&gt;=$F58)),3,""),IF(AND(O$15&lt;=$F58,O$15+6&gt;=$E58),IF($I58="Milestone",IF(AND(OR($D58="Complete",$D58="Submitted"),$F58&gt;Sources!$C$5),"T",2),IF(AND(OR($D58="Complete",$D58="Submitted"),O$15&gt;Sources!$C$5),4,1)),"")))</x:f>
      </x:c>
      <x:c r="P58" s="35" t="str">
        <x:f>IF(OR($E58="",$F58=""),"",IF($I58="Either date",IF(OR(AND(P$15&lt;=$E58,P$15+6&gt;=$E58),AND(P$15&lt;=$F58,P$15+6&gt;=$F58)),3,""),IF(AND(P$15&lt;=$F58,P$15+6&gt;=$E58),IF($I58="Milestone",IF(AND(OR($D58="Complete",$D58="Submitted"),$F58&gt;Sources!$C$5),"T",2),IF(AND(OR($D58="Complete",$D58="Submitted"),P$15&gt;Sources!$C$5),4,1)),"")))</x:f>
      </x:c>
      <x:c r="Q58" s="35" t="n">
        <x:f>IF(OR($E58="",$F58=""),"",IF($I58="Either date",IF(OR(AND(Q$15&lt;=$E58,Q$15+6&gt;=$E58),AND(Q$15&lt;=$F58,Q$15+6&gt;=$F58)),3,""),IF(AND(Q$15&lt;=$F58,Q$15+6&gt;=$E58),IF($I58="Milestone",IF(AND(OR($D58="Complete",$D58="Submitted"),$F58&gt;Sources!$C$5),"T",2),IF(AND(OR($D58="Complete",$D58="Submitted"),Q$15&gt;Sources!$C$5),4,1)),"")))</x:f>
        <x:v>1</x:v>
      </x:c>
      <x:c r="R58" s="35" t="str">
        <x:f>IF(OR($E58="",$F58=""),"",IF($I58="Either date",IF(OR(AND(R$15&lt;=$E58,R$15+6&gt;=$E58),AND(R$15&lt;=$F58,R$15+6&gt;=$F58)),3,""),IF(AND(R$15&lt;=$F58,R$15+6&gt;=$E58),IF($I58="Milestone",IF(AND(OR($D58="Complete",$D58="Submitted"),$F58&gt;Sources!$C$5),"T",2),IF(AND(OR($D58="Complete",$D58="Submitted"),R$15&gt;Sources!$C$5),4,1)),"")))</x:f>
      </x:c>
      <x:c r="S58" s="35" t="str">
        <x:f>IF(OR($E58="",$F58=""),"",IF($I58="Either date",IF(OR(AND(S$15&lt;=$E58,S$15+6&gt;=$E58),AND(S$15&lt;=$F58,S$15+6&gt;=$F58)),3,""),IF(AND(S$15&lt;=$F58,S$15+6&gt;=$E58),IF($I58="Milestone",IF(AND(OR($D58="Complete",$D58="Submitted"),$F58&gt;Sources!$C$5),"T",2),IF(AND(OR($D58="Complete",$D58="Submitted"),S$15&gt;Sources!$C$5),4,1)),"")))</x:f>
      </x:c>
      <x:c r="T58" s="35" t="str">
        <x:f>IF(OR($E58="",$F58=""),"",IF($I58="Either date",IF(OR(AND(T$15&lt;=$E58,T$15+6&gt;=$E58),AND(T$15&lt;=$F58,T$15+6&gt;=$F58)),3,""),IF(AND(T$15&lt;=$F58,T$15+6&gt;=$E58),IF($I58="Milestone",IF(AND(OR($D58="Complete",$D58="Submitted"),$F58&gt;Sources!$C$5),"T",2),IF(AND(OR($D58="Complete",$D58="Submitted"),T$15&gt;Sources!$C$5),4,1)),"")))</x:f>
      </x:c>
      <x:c r="U58" s="2"/>
      <x:c r="V58" s="2" t="str"/>
      <x:c r="W58" s="18" t="str">
        <x:v>All FS / TS</x:v>
      </x:c>
      <x:c r="X58" s="18" t="str">
        <x:v>Submitted Gantt</x:v>
      </x:c>
    </x:row>
    <x:row r="59" ht="38" customHeight="1">
      <x:c r="A59" s="2" t="str">
        <x:v>D2</x:v>
      </x:c>
      <x:c r="B59" s="18" t="str">
        <x:v>Draft group report and requirement traceability</x:v>
      </x:c>
      <x:c r="C59" s="18" t="str">
        <x:v>Emmett</x:v>
      </x:c>
      <x:c r="D59" s="2" t="str">
        <x:v>Planned</x:v>
      </x:c>
      <x:c r="E59" s="15" t="d">
        <x:v>2026-11-16T00:00:00.000Z</x:v>
      </x:c>
      <x:c r="F59" s="15" t="d">
        <x:v>2026-11-25T00:00:00.000Z</x:v>
      </x:c>
      <x:c r="G59" s="2" t="n">
        <x:f>IF(OR(E59="",F59="",I59="Either date"),"",IF(F59&lt;E59,"Review",F59-E59+1))</x:f>
        <x:v>10</x:v>
      </x:c>
      <x:c r="H59" s="18" t="str">
        <x:v>V5</x:v>
      </x:c>
      <x:c r="I59" s="18" t="str">
        <x:v>Window</x:v>
      </x:c>
      <x:c r="J59" s="35" t="str">
        <x:f>IF(OR($E59="",$F59=""),"",IF($I59="Either date",IF(OR(AND(J$15&lt;=$E59,J$15+6&gt;=$E59),AND(J$15&lt;=$F59,J$15+6&gt;=$F59)),3,""),IF(AND(J$15&lt;=$F59,J$15+6&gt;=$E59),IF($I59="Milestone",IF(AND(OR($D59="Complete",$D59="Submitted"),$F59&gt;Sources!$C$5),"T",2),IF(AND(OR($D59="Complete",$D59="Submitted"),J$15&gt;Sources!$C$5),4,1)),"")))</x:f>
      </x:c>
      <x:c r="K59" s="35" t="str">
        <x:f>IF(OR($E59="",$F59=""),"",IF($I59="Either date",IF(OR(AND(K$15&lt;=$E59,K$15+6&gt;=$E59),AND(K$15&lt;=$F59,K$15+6&gt;=$F59)),3,""),IF(AND(K$15&lt;=$F59,K$15+6&gt;=$E59),IF($I59="Milestone",IF(AND(OR($D59="Complete",$D59="Submitted"),$F59&gt;Sources!$C$5),"T",2),IF(AND(OR($D59="Complete",$D59="Submitted"),K$15&gt;Sources!$C$5),4,1)),"")))</x:f>
      </x:c>
      <x:c r="L59" s="35" t="str">
        <x:f>IF(OR($E59="",$F59=""),"",IF($I59="Either date",IF(OR(AND(L$15&lt;=$E59,L$15+6&gt;=$E59),AND(L$15&lt;=$F59,L$15+6&gt;=$F59)),3,""),IF(AND(L$15&lt;=$F59,L$15+6&gt;=$E59),IF($I59="Milestone",IF(AND(OR($D59="Complete",$D59="Submitted"),$F59&gt;Sources!$C$5),"T",2),IF(AND(OR($D59="Complete",$D59="Submitted"),L$15&gt;Sources!$C$5),4,1)),"")))</x:f>
      </x:c>
      <x:c r="M59" s="35" t="str">
        <x:f>IF(OR($E59="",$F59=""),"",IF($I59="Either date",IF(OR(AND(M$15&lt;=$E59,M$15+6&gt;=$E59),AND(M$15&lt;=$F59,M$15+6&gt;=$F59)),3,""),IF(AND(M$15&lt;=$F59,M$15+6&gt;=$E59),IF($I59="Milestone",IF(AND(OR($D59="Complete",$D59="Submitted"),$F59&gt;Sources!$C$5),"T",2),IF(AND(OR($D59="Complete",$D59="Submitted"),M$15&gt;Sources!$C$5),4,1)),"")))</x:f>
      </x:c>
      <x:c r="N59" s="35" t="str">
        <x:f>IF(OR($E59="",$F59=""),"",IF($I59="Either date",IF(OR(AND(N$15&lt;=$E59,N$15+6&gt;=$E59),AND(N$15&lt;=$F59,N$15+6&gt;=$F59)),3,""),IF(AND(N$15&lt;=$F59,N$15+6&gt;=$E59),IF($I59="Milestone",IF(AND(OR($D59="Complete",$D59="Submitted"),$F59&gt;Sources!$C$5),"T",2),IF(AND(OR($D59="Complete",$D59="Submitted"),N$15&gt;Sources!$C$5),4,1)),"")))</x:f>
      </x:c>
      <x:c r="O59" s="35" t="str">
        <x:f>IF(OR($E59="",$F59=""),"",IF($I59="Either date",IF(OR(AND(O$15&lt;=$E59,O$15+6&gt;=$E59),AND(O$15&lt;=$F59,O$15+6&gt;=$F59)),3,""),IF(AND(O$15&lt;=$F59,O$15+6&gt;=$E59),IF($I59="Milestone",IF(AND(OR($D59="Complete",$D59="Submitted"),$F59&gt;Sources!$C$5),"T",2),IF(AND(OR($D59="Complete",$D59="Submitted"),O$15&gt;Sources!$C$5),4,1)),"")))</x:f>
      </x:c>
      <x:c r="P59" s="35" t="str">
        <x:f>IF(OR($E59="",$F59=""),"",IF($I59="Either date",IF(OR(AND(P$15&lt;=$E59,P$15+6&gt;=$E59),AND(P$15&lt;=$F59,P$15+6&gt;=$F59)),3,""),IF(AND(P$15&lt;=$F59,P$15+6&gt;=$E59),IF($I59="Milestone",IF(AND(OR($D59="Complete",$D59="Submitted"),$F59&gt;Sources!$C$5),"T",2),IF(AND(OR($D59="Complete",$D59="Submitted"),P$15&gt;Sources!$C$5),4,1)),"")))</x:f>
      </x:c>
      <x:c r="Q59" s="35" t="n">
        <x:f>IF(OR($E59="",$F59=""),"",IF($I59="Either date",IF(OR(AND(Q$15&lt;=$E59,Q$15+6&gt;=$E59),AND(Q$15&lt;=$F59,Q$15+6&gt;=$F59)),3,""),IF(AND(Q$15&lt;=$F59,Q$15+6&gt;=$E59),IF($I59="Milestone",IF(AND(OR($D59="Complete",$D59="Submitted"),$F59&gt;Sources!$C$5),"T",2),IF(AND(OR($D59="Complete",$D59="Submitted"),Q$15&gt;Sources!$C$5),4,1)),"")))</x:f>
        <x:v>1</x:v>
      </x:c>
      <x:c r="R59" s="35" t="n">
        <x:f>IF(OR($E59="",$F59=""),"",IF($I59="Either date",IF(OR(AND(R$15&lt;=$E59,R$15+6&gt;=$E59),AND(R$15&lt;=$F59,R$15+6&gt;=$F59)),3,""),IF(AND(R$15&lt;=$F59,R$15+6&gt;=$E59),IF($I59="Milestone",IF(AND(OR($D59="Complete",$D59="Submitted"),$F59&gt;Sources!$C$5),"T",2),IF(AND(OR($D59="Complete",$D59="Submitted"),R$15&gt;Sources!$C$5),4,1)),"")))</x:f>
        <x:v>1</x:v>
      </x:c>
      <x:c r="S59" s="35" t="str">
        <x:f>IF(OR($E59="",$F59=""),"",IF($I59="Either date",IF(OR(AND(S$15&lt;=$E59,S$15+6&gt;=$E59),AND(S$15&lt;=$F59,S$15+6&gt;=$F59)),3,""),IF(AND(S$15&lt;=$F59,S$15+6&gt;=$E59),IF($I59="Milestone",IF(AND(OR($D59="Complete",$D59="Submitted"),$F59&gt;Sources!$C$5),"T",2),IF(AND(OR($D59="Complete",$D59="Submitted"),S$15&gt;Sources!$C$5),4,1)),"")))</x:f>
      </x:c>
      <x:c r="T59" s="35" t="str">
        <x:f>IF(OR($E59="",$F59=""),"",IF($I59="Either date",IF(OR(AND(T$15&lt;=$E59,T$15+6&gt;=$E59),AND(T$15&lt;=$F59,T$15+6&gt;=$F59)),3,""),IF(AND(T$15&lt;=$F59,T$15+6&gt;=$E59),IF($I59="Milestone",IF(AND(OR($D59="Complete",$D59="Submitted"),$F59&gt;Sources!$C$5),"T",2),IF(AND(OR($D59="Complete",$D59="Submitted"),T$15&gt;Sources!$C$5),4,1)),"")))</x:f>
      </x:c>
      <x:c r="U59" s="2"/>
      <x:c r="V59" s="2" t="str"/>
      <x:c r="W59" s="18" t="str">
        <x:v>All FS / TS</x:v>
      </x:c>
      <x:c r="X59" s="18" t="str">
        <x:v>Submitted Gantt</x:v>
      </x:c>
    </x:row>
    <x:row r="60" ht="38" customHeight="1">
      <x:c r="A60" s="36" t="str">
        <x:v>D3</x:v>
      </x:c>
      <x:c r="B60" s="37" t="str">
        <x:v>Draft individual reports and contributions</x:v>
      </x:c>
      <x:c r="C60" s="37" t="str">
        <x:v>Emmett</x:v>
      </x:c>
      <x:c r="D60" s="36" t="str">
        <x:v>Planned</x:v>
      </x:c>
      <x:c r="E60" s="38" t="d">
        <x:v>2026-11-23T00:00:00.000Z</x:v>
      </x:c>
      <x:c r="F60" s="38" t="d">
        <x:v>2026-11-25T00:00:00.000Z</x:v>
      </x:c>
      <x:c r="G60" s="36" t="n">
        <x:f>IF(OR(E60="",F60="",I60="Either date"),"",IF(F60&lt;E60,"Review",F60-E60+1))</x:f>
        <x:v>3</x:v>
      </x:c>
      <x:c r="H60" s="37" t="str">
        <x:v>V6</x:v>
      </x:c>
      <x:c r="I60" s="37" t="str">
        <x:v>Window</x:v>
      </x:c>
      <x:c r="J60" s="35" t="str">
        <x:f>IF(OR($E60="",$F60=""),"",IF($I60="Either date",IF(OR(AND(J$15&lt;=$E60,J$15+6&gt;=$E60),AND(J$15&lt;=$F60,J$15+6&gt;=$F60)),3,""),IF(AND(J$15&lt;=$F60,J$15+6&gt;=$E60),IF($I60="Milestone",IF(AND(OR($D60="Complete",$D60="Submitted"),$F60&gt;Sources!$C$5),"T",2),IF(AND(OR($D60="Complete",$D60="Submitted"),J$15&gt;Sources!$C$5),4,1)),"")))</x:f>
      </x:c>
      <x:c r="K60" s="35" t="str">
        <x:f>IF(OR($E60="",$F60=""),"",IF($I60="Either date",IF(OR(AND(K$15&lt;=$E60,K$15+6&gt;=$E60),AND(K$15&lt;=$F60,K$15+6&gt;=$F60)),3,""),IF(AND(K$15&lt;=$F60,K$15+6&gt;=$E60),IF($I60="Milestone",IF(AND(OR($D60="Complete",$D60="Submitted"),$F60&gt;Sources!$C$5),"T",2),IF(AND(OR($D60="Complete",$D60="Submitted"),K$15&gt;Sources!$C$5),4,1)),"")))</x:f>
      </x:c>
      <x:c r="L60" s="35" t="str">
        <x:f>IF(OR($E60="",$F60=""),"",IF($I60="Either date",IF(OR(AND(L$15&lt;=$E60,L$15+6&gt;=$E60),AND(L$15&lt;=$F60,L$15+6&gt;=$F60)),3,""),IF(AND(L$15&lt;=$F60,L$15+6&gt;=$E60),IF($I60="Milestone",IF(AND(OR($D60="Complete",$D60="Submitted"),$F60&gt;Sources!$C$5),"T",2),IF(AND(OR($D60="Complete",$D60="Submitted"),L$15&gt;Sources!$C$5),4,1)),"")))</x:f>
      </x:c>
      <x:c r="M60" s="35" t="str">
        <x:f>IF(OR($E60="",$F60=""),"",IF($I60="Either date",IF(OR(AND(M$15&lt;=$E60,M$15+6&gt;=$E60),AND(M$15&lt;=$F60,M$15+6&gt;=$F60)),3,""),IF(AND(M$15&lt;=$F60,M$15+6&gt;=$E60),IF($I60="Milestone",IF(AND(OR($D60="Complete",$D60="Submitted"),$F60&gt;Sources!$C$5),"T",2),IF(AND(OR($D60="Complete",$D60="Submitted"),M$15&gt;Sources!$C$5),4,1)),"")))</x:f>
      </x:c>
      <x:c r="N60" s="35" t="str">
        <x:f>IF(OR($E60="",$F60=""),"",IF($I60="Either date",IF(OR(AND(N$15&lt;=$E60,N$15+6&gt;=$E60),AND(N$15&lt;=$F60,N$15+6&gt;=$F60)),3,""),IF(AND(N$15&lt;=$F60,N$15+6&gt;=$E60),IF($I60="Milestone",IF(AND(OR($D60="Complete",$D60="Submitted"),$F60&gt;Sources!$C$5),"T",2),IF(AND(OR($D60="Complete",$D60="Submitted"),N$15&gt;Sources!$C$5),4,1)),"")))</x:f>
      </x:c>
      <x:c r="O60" s="35" t="str">
        <x:f>IF(OR($E60="",$F60=""),"",IF($I60="Either date",IF(OR(AND(O$15&lt;=$E60,O$15+6&gt;=$E60),AND(O$15&lt;=$F60,O$15+6&gt;=$F60)),3,""),IF(AND(O$15&lt;=$F60,O$15+6&gt;=$E60),IF($I60="Milestone",IF(AND(OR($D60="Complete",$D60="Submitted"),$F60&gt;Sources!$C$5),"T",2),IF(AND(OR($D60="Complete",$D60="Submitted"),O$15&gt;Sources!$C$5),4,1)),"")))</x:f>
      </x:c>
      <x:c r="P60" s="35" t="str">
        <x:f>IF(OR($E60="",$F60=""),"",IF($I60="Either date",IF(OR(AND(P$15&lt;=$E60,P$15+6&gt;=$E60),AND(P$15&lt;=$F60,P$15+6&gt;=$F60)),3,""),IF(AND(P$15&lt;=$F60,P$15+6&gt;=$E60),IF($I60="Milestone",IF(AND(OR($D60="Complete",$D60="Submitted"),$F60&gt;Sources!$C$5),"T",2),IF(AND(OR($D60="Complete",$D60="Submitted"),P$15&gt;Sources!$C$5),4,1)),"")))</x:f>
      </x:c>
      <x:c r="Q60" s="35" t="str">
        <x:f>IF(OR($E60="",$F60=""),"",IF($I60="Either date",IF(OR(AND(Q$15&lt;=$E60,Q$15+6&gt;=$E60),AND(Q$15&lt;=$F60,Q$15+6&gt;=$F60)),3,""),IF(AND(Q$15&lt;=$F60,Q$15+6&gt;=$E60),IF($I60="Milestone",IF(AND(OR($D60="Complete",$D60="Submitted"),$F60&gt;Sources!$C$5),"T",2),IF(AND(OR($D60="Complete",$D60="Submitted"),Q$15&gt;Sources!$C$5),4,1)),"")))</x:f>
      </x:c>
      <x:c r="R60" s="35" t="n">
        <x:f>IF(OR($E60="",$F60=""),"",IF($I60="Either date",IF(OR(AND(R$15&lt;=$E60,R$15+6&gt;=$E60),AND(R$15&lt;=$F60,R$15+6&gt;=$F60)),3,""),IF(AND(R$15&lt;=$F60,R$15+6&gt;=$E60),IF($I60="Milestone",IF(AND(OR($D60="Complete",$D60="Submitted"),$F60&gt;Sources!$C$5),"T",2),IF(AND(OR($D60="Complete",$D60="Submitted"),R$15&gt;Sources!$C$5),4,1)),"")))</x:f>
        <x:v>1</x:v>
      </x:c>
      <x:c r="S60" s="35" t="str">
        <x:f>IF(OR($E60="",$F60=""),"",IF($I60="Either date",IF(OR(AND(S$15&lt;=$E60,S$15+6&gt;=$E60),AND(S$15&lt;=$F60,S$15+6&gt;=$F60)),3,""),IF(AND(S$15&lt;=$F60,S$15+6&gt;=$E60),IF($I60="Milestone",IF(AND(OR($D60="Complete",$D60="Submitted"),$F60&gt;Sources!$C$5),"T",2),IF(AND(OR($D60="Complete",$D60="Submitted"),S$15&gt;Sources!$C$5),4,1)),"")))</x:f>
      </x:c>
      <x:c r="T60" s="35" t="str">
        <x:f>IF(OR($E60="",$F60=""),"",IF($I60="Either date",IF(OR(AND(T$15&lt;=$E60,T$15+6&gt;=$E60),AND(T$15&lt;=$F60,T$15+6&gt;=$F60)),3,""),IF(AND(T$15&lt;=$F60,T$15+6&gt;=$E60),IF($I60="Milestone",IF(AND(OR($D60="Complete",$D60="Submitted"),$F60&gt;Sources!$C$5),"T",2),IF(AND(OR($D60="Complete",$D60="Submitted"),T$15&gt;Sources!$C$5),4,1)),"")))</x:f>
      </x:c>
      <x:c r="U60" s="2"/>
      <x:c r="V60" s="2" t="str"/>
      <x:c r="W60" s="18" t="str">
        <x:v>Individual deliverable</x:v>
      </x:c>
      <x:c r="X60" s="18" t="str">
        <x:v>Submitted Gantt</x:v>
      </x:c>
    </x:row>
    <x:row r="61" ht="38" customHeight="1">
      <x:c r="A61" s="2" t="str">
        <x:v>D4</x:v>
      </x:c>
      <x:c r="B61" s="18" t="str">
        <x:v>Review group/individual reports and final evidence</x:v>
      </x:c>
      <x:c r="C61" s="18" t="str">
        <x:v>All four</x:v>
      </x:c>
      <x:c r="D61" s="2" t="str">
        <x:v>Planned</x:v>
      </x:c>
      <x:c r="E61" s="15" t="d">
        <x:v>2026-11-30T00:00:00.000Z</x:v>
      </x:c>
      <x:c r="F61" s="15" t="d">
        <x:v>2026-12-02T00:00:00.000Z</x:v>
      </x:c>
      <x:c r="G61" s="2" t="n">
        <x:f>IF(OR(E61="",F61="",I61="Either date"),"",IF(F61&lt;E61,"Review",F61-E61+1))</x:f>
        <x:v>3</x:v>
      </x:c>
      <x:c r="H61" s="18" t="str">
        <x:v>M6, D2, D3</x:v>
      </x:c>
      <x:c r="I61" s="18" t="str">
        <x:v>Window</x:v>
      </x:c>
      <x:c r="J61" s="35" t="str">
        <x:f>IF(OR($E61="",$F61=""),"",IF($I61="Either date",IF(OR(AND(J$15&lt;=$E61,J$15+6&gt;=$E61),AND(J$15&lt;=$F61,J$15+6&gt;=$F61)),3,""),IF(AND(J$15&lt;=$F61,J$15+6&gt;=$E61),IF($I61="Milestone",IF(AND(OR($D61="Complete",$D61="Submitted"),$F61&gt;Sources!$C$5),"T",2),IF(AND(OR($D61="Complete",$D61="Submitted"),J$15&gt;Sources!$C$5),4,1)),"")))</x:f>
      </x:c>
      <x:c r="K61" s="35" t="str">
        <x:f>IF(OR($E61="",$F61=""),"",IF($I61="Either date",IF(OR(AND(K$15&lt;=$E61,K$15+6&gt;=$E61),AND(K$15&lt;=$F61,K$15+6&gt;=$F61)),3,""),IF(AND(K$15&lt;=$F61,K$15+6&gt;=$E61),IF($I61="Milestone",IF(AND(OR($D61="Complete",$D61="Submitted"),$F61&gt;Sources!$C$5),"T",2),IF(AND(OR($D61="Complete",$D61="Submitted"),K$15&gt;Sources!$C$5),4,1)),"")))</x:f>
      </x:c>
      <x:c r="L61" s="35" t="str">
        <x:f>IF(OR($E61="",$F61=""),"",IF($I61="Either date",IF(OR(AND(L$15&lt;=$E61,L$15+6&gt;=$E61),AND(L$15&lt;=$F61,L$15+6&gt;=$F61)),3,""),IF(AND(L$15&lt;=$F61,L$15+6&gt;=$E61),IF($I61="Milestone",IF(AND(OR($D61="Complete",$D61="Submitted"),$F61&gt;Sources!$C$5),"T",2),IF(AND(OR($D61="Complete",$D61="Submitted"),L$15&gt;Sources!$C$5),4,1)),"")))</x:f>
      </x:c>
      <x:c r="M61" s="35" t="str">
        <x:f>IF(OR($E61="",$F61=""),"",IF($I61="Either date",IF(OR(AND(M$15&lt;=$E61,M$15+6&gt;=$E61),AND(M$15&lt;=$F61,M$15+6&gt;=$F61)),3,""),IF(AND(M$15&lt;=$F61,M$15+6&gt;=$E61),IF($I61="Milestone",IF(AND(OR($D61="Complete",$D61="Submitted"),$F61&gt;Sources!$C$5),"T",2),IF(AND(OR($D61="Complete",$D61="Submitted"),M$15&gt;Sources!$C$5),4,1)),"")))</x:f>
      </x:c>
      <x:c r="N61" s="35" t="str">
        <x:f>IF(OR($E61="",$F61=""),"",IF($I61="Either date",IF(OR(AND(N$15&lt;=$E61,N$15+6&gt;=$E61),AND(N$15&lt;=$F61,N$15+6&gt;=$F61)),3,""),IF(AND(N$15&lt;=$F61,N$15+6&gt;=$E61),IF($I61="Milestone",IF(AND(OR($D61="Complete",$D61="Submitted"),$F61&gt;Sources!$C$5),"T",2),IF(AND(OR($D61="Complete",$D61="Submitted"),N$15&gt;Sources!$C$5),4,1)),"")))</x:f>
      </x:c>
      <x:c r="O61" s="35" t="str">
        <x:f>IF(OR($E61="",$F61=""),"",IF($I61="Either date",IF(OR(AND(O$15&lt;=$E61,O$15+6&gt;=$E61),AND(O$15&lt;=$F61,O$15+6&gt;=$F61)),3,""),IF(AND(O$15&lt;=$F61,O$15+6&gt;=$E61),IF($I61="Milestone",IF(AND(OR($D61="Complete",$D61="Submitted"),$F61&gt;Sources!$C$5),"T",2),IF(AND(OR($D61="Complete",$D61="Submitted"),O$15&gt;Sources!$C$5),4,1)),"")))</x:f>
      </x:c>
      <x:c r="P61" s="35" t="str">
        <x:f>IF(OR($E61="",$F61=""),"",IF($I61="Either date",IF(OR(AND(P$15&lt;=$E61,P$15+6&gt;=$E61),AND(P$15&lt;=$F61,P$15+6&gt;=$F61)),3,""),IF(AND(P$15&lt;=$F61,P$15+6&gt;=$E61),IF($I61="Milestone",IF(AND(OR($D61="Complete",$D61="Submitted"),$F61&gt;Sources!$C$5),"T",2),IF(AND(OR($D61="Complete",$D61="Submitted"),P$15&gt;Sources!$C$5),4,1)),"")))</x:f>
      </x:c>
      <x:c r="Q61" s="35" t="str">
        <x:f>IF(OR($E61="",$F61=""),"",IF($I61="Either date",IF(OR(AND(Q$15&lt;=$E61,Q$15+6&gt;=$E61),AND(Q$15&lt;=$F61,Q$15+6&gt;=$F61)),3,""),IF(AND(Q$15&lt;=$F61,Q$15+6&gt;=$E61),IF($I61="Milestone",IF(AND(OR($D61="Complete",$D61="Submitted"),$F61&gt;Sources!$C$5),"T",2),IF(AND(OR($D61="Complete",$D61="Submitted"),Q$15&gt;Sources!$C$5),4,1)),"")))</x:f>
      </x:c>
      <x:c r="R61" s="35" t="str">
        <x:f>IF(OR($E61="",$F61=""),"",IF($I61="Either date",IF(OR(AND(R$15&lt;=$E61,R$15+6&gt;=$E61),AND(R$15&lt;=$F61,R$15+6&gt;=$F61)),3,""),IF(AND(R$15&lt;=$F61,R$15+6&gt;=$E61),IF($I61="Milestone",IF(AND(OR($D61="Complete",$D61="Submitted"),$F61&gt;Sources!$C$5),"T",2),IF(AND(OR($D61="Complete",$D61="Submitted"),R$15&gt;Sources!$C$5),4,1)),"")))</x:f>
      </x:c>
      <x:c r="S61" s="35" t="n">
        <x:f>IF(OR($E61="",$F61=""),"",IF($I61="Either date",IF(OR(AND(S$15&lt;=$E61,S$15+6&gt;=$E61),AND(S$15&lt;=$F61,S$15+6&gt;=$F61)),3,""),IF(AND(S$15&lt;=$F61,S$15+6&gt;=$E61),IF($I61="Milestone",IF(AND(OR($D61="Complete",$D61="Submitted"),$F61&gt;Sources!$C$5),"T",2),IF(AND(OR($D61="Complete",$D61="Submitted"),S$15&gt;Sources!$C$5),4,1)),"")))</x:f>
        <x:v>1</x:v>
      </x:c>
      <x:c r="T61" s="35" t="str">
        <x:f>IF(OR($E61="",$F61=""),"",IF($I61="Either date",IF(OR(AND(T$15&lt;=$E61,T$15+6&gt;=$E61),AND(T$15&lt;=$F61,T$15+6&gt;=$F61)),3,""),IF(AND(T$15&lt;=$F61,T$15+6&gt;=$E61),IF($I61="Milestone",IF(AND(OR($D61="Complete",$D61="Submitted"),$F61&gt;Sources!$C$5),"T",2),IF(AND(OR($D61="Complete",$D61="Submitted"),T$15&gt;Sources!$C$5),4,1)),"")))</x:f>
      </x:c>
      <x:c r="U61" s="2"/>
      <x:c r="V61" s="2" t="str"/>
      <x:c r="W61" s="18" t="str">
        <x:v>All FS / TS</x:v>
      </x:c>
      <x:c r="X61" s="18" t="str">
        <x:v>Submitted Gantt</x:v>
      </x:c>
    </x:row>
    <x:row r="62" ht="38" customHeight="1">
      <x:c r="A62" s="36" t="str">
        <x:v>D5</x:v>
      </x:c>
      <x:c r="B62" s="37" t="str">
        <x:v>Finish reports, CATME and Week 14 log</x:v>
      </x:c>
      <x:c r="C62" s="37" t="str">
        <x:v>All four</x:v>
      </x:c>
      <x:c r="D62" s="36" t="str">
        <x:v>Planned</x:v>
      </x:c>
      <x:c r="E62" s="38" t="d">
        <x:v>2026-12-03T00:00:00.000Z</x:v>
      </x:c>
      <x:c r="F62" s="38" t="d">
        <x:v>2026-12-04T00:00:00.000Z</x:v>
      </x:c>
      <x:c r="G62" s="36" t="n">
        <x:f>IF(OR(E62="",F62="",I62="Either date"),"",IF(F62&lt;E62,"Review",F62-E62+1))</x:f>
        <x:v>2</x:v>
      </x:c>
      <x:c r="H62" s="37" t="str">
        <x:v>D4</x:v>
      </x:c>
      <x:c r="I62" s="37" t="str">
        <x:v>Window</x:v>
      </x:c>
      <x:c r="J62" s="35" t="str">
        <x:f>IF(OR($E62="",$F62=""),"",IF($I62="Either date",IF(OR(AND(J$15&lt;=$E62,J$15+6&gt;=$E62),AND(J$15&lt;=$F62,J$15+6&gt;=$F62)),3,""),IF(AND(J$15&lt;=$F62,J$15+6&gt;=$E62),IF($I62="Milestone",IF(AND(OR($D62="Complete",$D62="Submitted"),$F62&gt;Sources!$C$5),"T",2),IF(AND(OR($D62="Complete",$D62="Submitted"),J$15&gt;Sources!$C$5),4,1)),"")))</x:f>
      </x:c>
      <x:c r="K62" s="35" t="str">
        <x:f>IF(OR($E62="",$F62=""),"",IF($I62="Either date",IF(OR(AND(K$15&lt;=$E62,K$15+6&gt;=$E62),AND(K$15&lt;=$F62,K$15+6&gt;=$F62)),3,""),IF(AND(K$15&lt;=$F62,K$15+6&gt;=$E62),IF($I62="Milestone",IF(AND(OR($D62="Complete",$D62="Submitted"),$F62&gt;Sources!$C$5),"T",2),IF(AND(OR($D62="Complete",$D62="Submitted"),K$15&gt;Sources!$C$5),4,1)),"")))</x:f>
      </x:c>
      <x:c r="L62" s="35" t="str">
        <x:f>IF(OR($E62="",$F62=""),"",IF($I62="Either date",IF(OR(AND(L$15&lt;=$E62,L$15+6&gt;=$E62),AND(L$15&lt;=$F62,L$15+6&gt;=$F62)),3,""),IF(AND(L$15&lt;=$F62,L$15+6&gt;=$E62),IF($I62="Milestone",IF(AND(OR($D62="Complete",$D62="Submitted"),$F62&gt;Sources!$C$5),"T",2),IF(AND(OR($D62="Complete",$D62="Submitted"),L$15&gt;Sources!$C$5),4,1)),"")))</x:f>
      </x:c>
      <x:c r="M62" s="35" t="str">
        <x:f>IF(OR($E62="",$F62=""),"",IF($I62="Either date",IF(OR(AND(M$15&lt;=$E62,M$15+6&gt;=$E62),AND(M$15&lt;=$F62,M$15+6&gt;=$F62)),3,""),IF(AND(M$15&lt;=$F62,M$15+6&gt;=$E62),IF($I62="Milestone",IF(AND(OR($D62="Complete",$D62="Submitted"),$F62&gt;Sources!$C$5),"T",2),IF(AND(OR($D62="Complete",$D62="Submitted"),M$15&gt;Sources!$C$5),4,1)),"")))</x:f>
      </x:c>
      <x:c r="N62" s="35" t="str">
        <x:f>IF(OR($E62="",$F62=""),"",IF($I62="Either date",IF(OR(AND(N$15&lt;=$E62,N$15+6&gt;=$E62),AND(N$15&lt;=$F62,N$15+6&gt;=$F62)),3,""),IF(AND(N$15&lt;=$F62,N$15+6&gt;=$E62),IF($I62="Milestone",IF(AND(OR($D62="Complete",$D62="Submitted"),$F62&gt;Sources!$C$5),"T",2),IF(AND(OR($D62="Complete",$D62="Submitted"),N$15&gt;Sources!$C$5),4,1)),"")))</x:f>
      </x:c>
      <x:c r="O62" s="35" t="str">
        <x:f>IF(OR($E62="",$F62=""),"",IF($I62="Either date",IF(OR(AND(O$15&lt;=$E62,O$15+6&gt;=$E62),AND(O$15&lt;=$F62,O$15+6&gt;=$F62)),3,""),IF(AND(O$15&lt;=$F62,O$15+6&gt;=$E62),IF($I62="Milestone",IF(AND(OR($D62="Complete",$D62="Submitted"),$F62&gt;Sources!$C$5),"T",2),IF(AND(OR($D62="Complete",$D62="Submitted"),O$15&gt;Sources!$C$5),4,1)),"")))</x:f>
      </x:c>
      <x:c r="P62" s="35" t="str">
        <x:f>IF(OR($E62="",$F62=""),"",IF($I62="Either date",IF(OR(AND(P$15&lt;=$E62,P$15+6&gt;=$E62),AND(P$15&lt;=$F62,P$15+6&gt;=$F62)),3,""),IF(AND(P$15&lt;=$F62,P$15+6&gt;=$E62),IF($I62="Milestone",IF(AND(OR($D62="Complete",$D62="Submitted"),$F62&gt;Sources!$C$5),"T",2),IF(AND(OR($D62="Complete",$D62="Submitted"),P$15&gt;Sources!$C$5),4,1)),"")))</x:f>
      </x:c>
      <x:c r="Q62" s="35" t="str">
        <x:f>IF(OR($E62="",$F62=""),"",IF($I62="Either date",IF(OR(AND(Q$15&lt;=$E62,Q$15+6&gt;=$E62),AND(Q$15&lt;=$F62,Q$15+6&gt;=$F62)),3,""),IF(AND(Q$15&lt;=$F62,Q$15+6&gt;=$E62),IF($I62="Milestone",IF(AND(OR($D62="Complete",$D62="Submitted"),$F62&gt;Sources!$C$5),"T",2),IF(AND(OR($D62="Complete",$D62="Submitted"),Q$15&gt;Sources!$C$5),4,1)),"")))</x:f>
      </x:c>
      <x:c r="R62" s="35" t="str">
        <x:f>IF(OR($E62="",$F62=""),"",IF($I62="Either date",IF(OR(AND(R$15&lt;=$E62,R$15+6&gt;=$E62),AND(R$15&lt;=$F62,R$15+6&gt;=$F62)),3,""),IF(AND(R$15&lt;=$F62,R$15+6&gt;=$E62),IF($I62="Milestone",IF(AND(OR($D62="Complete",$D62="Submitted"),$F62&gt;Sources!$C$5),"T",2),IF(AND(OR($D62="Complete",$D62="Submitted"),R$15&gt;Sources!$C$5),4,1)),"")))</x:f>
      </x:c>
      <x:c r="S62" s="35" t="n">
        <x:f>IF(OR($E62="",$F62=""),"",IF($I62="Either date",IF(OR(AND(S$15&lt;=$E62,S$15+6&gt;=$E62),AND(S$15&lt;=$F62,S$15+6&gt;=$F62)),3,""),IF(AND(S$15&lt;=$F62,S$15+6&gt;=$E62),IF($I62="Milestone",IF(AND(OR($D62="Complete",$D62="Submitted"),$F62&gt;Sources!$C$5),"T",2),IF(AND(OR($D62="Complete",$D62="Submitted"),S$15&gt;Sources!$C$5),4,1)),"")))</x:f>
        <x:v>1</x:v>
      </x:c>
      <x:c r="T62" s="35" t="str">
        <x:f>IF(OR($E62="",$F62=""),"",IF($I62="Either date",IF(OR(AND(T$15&lt;=$E62,T$15+6&gt;=$E62),AND(T$15&lt;=$F62,T$15+6&gt;=$F62)),3,""),IF(AND(T$15&lt;=$F62,T$15+6&gt;=$E62),IF($I62="Milestone",IF(AND(OR($D62="Complete",$D62="Submitted"),$F62&gt;Sources!$C$5),"T",2),IF(AND(OR($D62="Complete",$D62="Submitted"),T$15&gt;Sources!$C$5),4,1)),"")))</x:f>
      </x:c>
      <x:c r="U62" s="2"/>
      <x:c r="V62" s="2" t="str"/>
      <x:c r="W62" s="18" t="str">
        <x:v>Course deliverables</x:v>
      </x:c>
      <x:c r="X62" s="18" t="str">
        <x:v>Submitted Gantt</x:v>
      </x:c>
    </x:row>
    <x:row r="63" ht="38" customHeight="1">
      <x:c r="A63" s="2" t="str">
        <x:v>M7</x:v>
      </x:c>
      <x:c r="B63" s="18" t="str">
        <x:v>Team milestone: reports ready to submit</x:v>
      </x:c>
      <x:c r="C63" s="18" t="str">
        <x:v>All four</x:v>
      </x:c>
      <x:c r="D63" s="2" t="str">
        <x:v>Planned</x:v>
      </x:c>
      <x:c r="E63" s="15" t="d">
        <x:v>2026-12-03T00:00:00.000Z</x:v>
      </x:c>
      <x:c r="F63" s="15" t="d">
        <x:v>2026-12-03T00:00:00.000Z</x:v>
      </x:c>
      <x:c r="G63" s="2" t="n">
        <x:f>IF(OR(E63="",F63="",I63="Either date"),"",IF(F63&lt;E63,"Review",F63-E63+1))</x:f>
        <x:v>1</x:v>
      </x:c>
      <x:c r="H63" s="18" t="str">
        <x:v>D4</x:v>
      </x:c>
      <x:c r="I63" s="18" t="str">
        <x:v>Milestone</x:v>
      </x:c>
      <x:c r="J63" s="35" t="str">
        <x:f>IF(OR($E63="",$F63=""),"",IF($I63="Either date",IF(OR(AND(J$15&lt;=$E63,J$15+6&gt;=$E63),AND(J$15&lt;=$F63,J$15+6&gt;=$F63)),3,""),IF(AND(J$15&lt;=$F63,J$15+6&gt;=$E63),IF($I63="Milestone",IF(AND(OR($D63="Complete",$D63="Submitted"),$F63&gt;Sources!$C$5),"T",2),IF(AND(OR($D63="Complete",$D63="Submitted"),J$15&gt;Sources!$C$5),4,1)),"")))</x:f>
      </x:c>
      <x:c r="K63" s="35" t="str">
        <x:f>IF(OR($E63="",$F63=""),"",IF($I63="Either date",IF(OR(AND(K$15&lt;=$E63,K$15+6&gt;=$E63),AND(K$15&lt;=$F63,K$15+6&gt;=$F63)),3,""),IF(AND(K$15&lt;=$F63,K$15+6&gt;=$E63),IF($I63="Milestone",IF(AND(OR($D63="Complete",$D63="Submitted"),$F63&gt;Sources!$C$5),"T",2),IF(AND(OR($D63="Complete",$D63="Submitted"),K$15&gt;Sources!$C$5),4,1)),"")))</x:f>
      </x:c>
      <x:c r="L63" s="35" t="str">
        <x:f>IF(OR($E63="",$F63=""),"",IF($I63="Either date",IF(OR(AND(L$15&lt;=$E63,L$15+6&gt;=$E63),AND(L$15&lt;=$F63,L$15+6&gt;=$F63)),3,""),IF(AND(L$15&lt;=$F63,L$15+6&gt;=$E63),IF($I63="Milestone",IF(AND(OR($D63="Complete",$D63="Submitted"),$F63&gt;Sources!$C$5),"T",2),IF(AND(OR($D63="Complete",$D63="Submitted"),L$15&gt;Sources!$C$5),4,1)),"")))</x:f>
      </x:c>
      <x:c r="M63" s="35" t="str">
        <x:f>IF(OR($E63="",$F63=""),"",IF($I63="Either date",IF(OR(AND(M$15&lt;=$E63,M$15+6&gt;=$E63),AND(M$15&lt;=$F63,M$15+6&gt;=$F63)),3,""),IF(AND(M$15&lt;=$F63,M$15+6&gt;=$E63),IF($I63="Milestone",IF(AND(OR($D63="Complete",$D63="Submitted"),$F63&gt;Sources!$C$5),"T",2),IF(AND(OR($D63="Complete",$D63="Submitted"),M$15&gt;Sources!$C$5),4,1)),"")))</x:f>
      </x:c>
      <x:c r="N63" s="35" t="str">
        <x:f>IF(OR($E63="",$F63=""),"",IF($I63="Either date",IF(OR(AND(N$15&lt;=$E63,N$15+6&gt;=$E63),AND(N$15&lt;=$F63,N$15+6&gt;=$F63)),3,""),IF(AND(N$15&lt;=$F63,N$15+6&gt;=$E63),IF($I63="Milestone",IF(AND(OR($D63="Complete",$D63="Submitted"),$F63&gt;Sources!$C$5),"T",2),IF(AND(OR($D63="Complete",$D63="Submitted"),N$15&gt;Sources!$C$5),4,1)),"")))</x:f>
      </x:c>
      <x:c r="O63" s="35" t="str">
        <x:f>IF(OR($E63="",$F63=""),"",IF($I63="Either date",IF(OR(AND(O$15&lt;=$E63,O$15+6&gt;=$E63),AND(O$15&lt;=$F63,O$15+6&gt;=$F63)),3,""),IF(AND(O$15&lt;=$F63,O$15+6&gt;=$E63),IF($I63="Milestone",IF(AND(OR($D63="Complete",$D63="Submitted"),$F63&gt;Sources!$C$5),"T",2),IF(AND(OR($D63="Complete",$D63="Submitted"),O$15&gt;Sources!$C$5),4,1)),"")))</x:f>
      </x:c>
      <x:c r="P63" s="35" t="str">
        <x:f>IF(OR($E63="",$F63=""),"",IF($I63="Either date",IF(OR(AND(P$15&lt;=$E63,P$15+6&gt;=$E63),AND(P$15&lt;=$F63,P$15+6&gt;=$F63)),3,""),IF(AND(P$15&lt;=$F63,P$15+6&gt;=$E63),IF($I63="Milestone",IF(AND(OR($D63="Complete",$D63="Submitted"),$F63&gt;Sources!$C$5),"T",2),IF(AND(OR($D63="Complete",$D63="Submitted"),P$15&gt;Sources!$C$5),4,1)),"")))</x:f>
      </x:c>
      <x:c r="Q63" s="35" t="str">
        <x:f>IF(OR($E63="",$F63=""),"",IF($I63="Either date",IF(OR(AND(Q$15&lt;=$E63,Q$15+6&gt;=$E63),AND(Q$15&lt;=$F63,Q$15+6&gt;=$F63)),3,""),IF(AND(Q$15&lt;=$F63,Q$15+6&gt;=$E63),IF($I63="Milestone",IF(AND(OR($D63="Complete",$D63="Submitted"),$F63&gt;Sources!$C$5),"T",2),IF(AND(OR($D63="Complete",$D63="Submitted"),Q$15&gt;Sources!$C$5),4,1)),"")))</x:f>
      </x:c>
      <x:c r="R63" s="35" t="str">
        <x:f>IF(OR($E63="",$F63=""),"",IF($I63="Either date",IF(OR(AND(R$15&lt;=$E63,R$15+6&gt;=$E63),AND(R$15&lt;=$F63,R$15+6&gt;=$F63)),3,""),IF(AND(R$15&lt;=$F63,R$15+6&gt;=$E63),IF($I63="Milestone",IF(AND(OR($D63="Complete",$D63="Submitted"),$F63&gt;Sources!$C$5),"T",2),IF(AND(OR($D63="Complete",$D63="Submitted"),R$15&gt;Sources!$C$5),4,1)),"")))</x:f>
      </x:c>
      <x:c r="S63" s="35" t="n">
        <x:f>IF(OR($E63="",$F63=""),"",IF($I63="Either date",IF(OR(AND(S$15&lt;=$E63,S$15+6&gt;=$E63),AND(S$15&lt;=$F63,S$15+6&gt;=$F63)),3,""),IF(AND(S$15&lt;=$F63,S$15+6&gt;=$E63),IF($I63="Milestone",IF(AND(OR($D63="Complete",$D63="Submitted"),$F63&gt;Sources!$C$5),"T",2),IF(AND(OR($D63="Complete",$D63="Submitted"),S$15&gt;Sources!$C$5),4,1)),"")))</x:f>
        <x:v>2</x:v>
      </x:c>
      <x:c r="T63" s="35" t="str">
        <x:f>IF(OR($E63="",$F63=""),"",IF($I63="Either date",IF(OR(AND(T$15&lt;=$E63,T$15+6&gt;=$E63),AND(T$15&lt;=$F63,T$15+6&gt;=$F63)),3,""),IF(AND(T$15&lt;=$F63,T$15+6&gt;=$E63),IF($I63="Milestone",IF(AND(OR($D63="Complete",$D63="Submitted"),$F63&gt;Sources!$C$5),"T",2),IF(AND(OR($D63="Complete",$D63="Submitted"),T$15&gt;Sources!$C$5),4,1)),"")))</x:f>
      </x:c>
      <x:c r="U63" s="2"/>
      <x:c r="V63" s="2" t="str"/>
      <x:c r="W63" s="18" t="str">
        <x:v>All FS / TS</x:v>
      </x:c>
      <x:c r="X63" s="18" t="str">
        <x:v>Submitted Gantt</x:v>
      </x:c>
    </x:row>
    <x:row r="64" ht="38" customHeight="1">
      <x:c r="A64" s="36" t="str">
        <x:v>D6</x:v>
      </x:c>
      <x:c r="B64" s="37" t="str">
        <x:v>Build final slides and demonstration sequence</x:v>
      </x:c>
      <x:c r="C64" s="37" t="str">
        <x:v>Joseph</x:v>
      </x:c>
      <x:c r="D64" s="36" t="str">
        <x:v>Planned</x:v>
      </x:c>
      <x:c r="E64" s="38" t="d">
        <x:v>2026-11-30T00:00:00.000Z</x:v>
      </x:c>
      <x:c r="F64" s="38" t="d">
        <x:v>2026-12-04T00:00:00.000Z</x:v>
      </x:c>
      <x:c r="G64" s="36" t="n">
        <x:f>IF(OR(E64="",F64="",I64="Either date"),"",IF(F64&lt;E64,"Review",F64-E64+1))</x:f>
        <x:v>5</x:v>
      </x:c>
      <x:c r="H64" s="37" t="str">
        <x:v>M6</x:v>
      </x:c>
      <x:c r="I64" s="37" t="str">
        <x:v>Window</x:v>
      </x:c>
      <x:c r="J64" s="35" t="str">
        <x:f>IF(OR($E64="",$F64=""),"",IF($I64="Either date",IF(OR(AND(J$15&lt;=$E64,J$15+6&gt;=$E64),AND(J$15&lt;=$F64,J$15+6&gt;=$F64)),3,""),IF(AND(J$15&lt;=$F64,J$15+6&gt;=$E64),IF($I64="Milestone",IF(AND(OR($D64="Complete",$D64="Submitted"),$F64&gt;Sources!$C$5),"T",2),IF(AND(OR($D64="Complete",$D64="Submitted"),J$15&gt;Sources!$C$5),4,1)),"")))</x:f>
      </x:c>
      <x:c r="K64" s="35" t="str">
        <x:f>IF(OR($E64="",$F64=""),"",IF($I64="Either date",IF(OR(AND(K$15&lt;=$E64,K$15+6&gt;=$E64),AND(K$15&lt;=$F64,K$15+6&gt;=$F64)),3,""),IF(AND(K$15&lt;=$F64,K$15+6&gt;=$E64),IF($I64="Milestone",IF(AND(OR($D64="Complete",$D64="Submitted"),$F64&gt;Sources!$C$5),"T",2),IF(AND(OR($D64="Complete",$D64="Submitted"),K$15&gt;Sources!$C$5),4,1)),"")))</x:f>
      </x:c>
      <x:c r="L64" s="35" t="str">
        <x:f>IF(OR($E64="",$F64=""),"",IF($I64="Either date",IF(OR(AND(L$15&lt;=$E64,L$15+6&gt;=$E64),AND(L$15&lt;=$F64,L$15+6&gt;=$F64)),3,""),IF(AND(L$15&lt;=$F64,L$15+6&gt;=$E64),IF($I64="Milestone",IF(AND(OR($D64="Complete",$D64="Submitted"),$F64&gt;Sources!$C$5),"T",2),IF(AND(OR($D64="Complete",$D64="Submitted"),L$15&gt;Sources!$C$5),4,1)),"")))</x:f>
      </x:c>
      <x:c r="M64" s="35" t="str">
        <x:f>IF(OR($E64="",$F64=""),"",IF($I64="Either date",IF(OR(AND(M$15&lt;=$E64,M$15+6&gt;=$E64),AND(M$15&lt;=$F64,M$15+6&gt;=$F64)),3,""),IF(AND(M$15&lt;=$F64,M$15+6&gt;=$E64),IF($I64="Milestone",IF(AND(OR($D64="Complete",$D64="Submitted"),$F64&gt;Sources!$C$5),"T",2),IF(AND(OR($D64="Complete",$D64="Submitted"),M$15&gt;Sources!$C$5),4,1)),"")))</x:f>
      </x:c>
      <x:c r="N64" s="35" t="str">
        <x:f>IF(OR($E64="",$F64=""),"",IF($I64="Either date",IF(OR(AND(N$15&lt;=$E64,N$15+6&gt;=$E64),AND(N$15&lt;=$F64,N$15+6&gt;=$F64)),3,""),IF(AND(N$15&lt;=$F64,N$15+6&gt;=$E64),IF($I64="Milestone",IF(AND(OR($D64="Complete",$D64="Submitted"),$F64&gt;Sources!$C$5),"T",2),IF(AND(OR($D64="Complete",$D64="Submitted"),N$15&gt;Sources!$C$5),4,1)),"")))</x:f>
      </x:c>
      <x:c r="O64" s="35" t="str">
        <x:f>IF(OR($E64="",$F64=""),"",IF($I64="Either date",IF(OR(AND(O$15&lt;=$E64,O$15+6&gt;=$E64),AND(O$15&lt;=$F64,O$15+6&gt;=$F64)),3,""),IF(AND(O$15&lt;=$F64,O$15+6&gt;=$E64),IF($I64="Milestone",IF(AND(OR($D64="Complete",$D64="Submitted"),$F64&gt;Sources!$C$5),"T",2),IF(AND(OR($D64="Complete",$D64="Submitted"),O$15&gt;Sources!$C$5),4,1)),"")))</x:f>
      </x:c>
      <x:c r="P64" s="35" t="str">
        <x:f>IF(OR($E64="",$F64=""),"",IF($I64="Either date",IF(OR(AND(P$15&lt;=$E64,P$15+6&gt;=$E64),AND(P$15&lt;=$F64,P$15+6&gt;=$F64)),3,""),IF(AND(P$15&lt;=$F64,P$15+6&gt;=$E64),IF($I64="Milestone",IF(AND(OR($D64="Complete",$D64="Submitted"),$F64&gt;Sources!$C$5),"T",2),IF(AND(OR($D64="Complete",$D64="Submitted"),P$15&gt;Sources!$C$5),4,1)),"")))</x:f>
      </x:c>
      <x:c r="Q64" s="35" t="str">
        <x:f>IF(OR($E64="",$F64=""),"",IF($I64="Either date",IF(OR(AND(Q$15&lt;=$E64,Q$15+6&gt;=$E64),AND(Q$15&lt;=$F64,Q$15+6&gt;=$F64)),3,""),IF(AND(Q$15&lt;=$F64,Q$15+6&gt;=$E64),IF($I64="Milestone",IF(AND(OR($D64="Complete",$D64="Submitted"),$F64&gt;Sources!$C$5),"T",2),IF(AND(OR($D64="Complete",$D64="Submitted"),Q$15&gt;Sources!$C$5),4,1)),"")))</x:f>
      </x:c>
      <x:c r="R64" s="35" t="str">
        <x:f>IF(OR($E64="",$F64=""),"",IF($I64="Either date",IF(OR(AND(R$15&lt;=$E64,R$15+6&gt;=$E64),AND(R$15&lt;=$F64,R$15+6&gt;=$F64)),3,""),IF(AND(R$15&lt;=$F64,R$15+6&gt;=$E64),IF($I64="Milestone",IF(AND(OR($D64="Complete",$D64="Submitted"),$F64&gt;Sources!$C$5),"T",2),IF(AND(OR($D64="Complete",$D64="Submitted"),R$15&gt;Sources!$C$5),4,1)),"")))</x:f>
      </x:c>
      <x:c r="S64" s="35" t="n">
        <x:f>IF(OR($E64="",$F64=""),"",IF($I64="Either date",IF(OR(AND(S$15&lt;=$E64,S$15+6&gt;=$E64),AND(S$15&lt;=$F64,S$15+6&gt;=$F64)),3,""),IF(AND(S$15&lt;=$F64,S$15+6&gt;=$E64),IF($I64="Milestone",IF(AND(OR($D64="Complete",$D64="Submitted"),$F64&gt;Sources!$C$5),"T",2),IF(AND(OR($D64="Complete",$D64="Submitted"),S$15&gt;Sources!$C$5),4,1)),"")))</x:f>
        <x:v>1</x:v>
      </x:c>
      <x:c r="T64" s="35" t="str">
        <x:f>IF(OR($E64="",$F64=""),"",IF($I64="Either date",IF(OR(AND(T$15&lt;=$E64,T$15+6&gt;=$E64),AND(T$15&lt;=$F64,T$15+6&gt;=$F64)),3,""),IF(AND(T$15&lt;=$F64,T$15+6&gt;=$E64),IF($I64="Milestone",IF(AND(OR($D64="Complete",$D64="Submitted"),$F64&gt;Sources!$C$5),"T",2),IF(AND(OR($D64="Complete",$D64="Submitted"),T$15&gt;Sources!$C$5),4,1)),"")))</x:f>
      </x:c>
      <x:c r="U64" s="2"/>
      <x:c r="V64" s="2" t="str"/>
      <x:c r="W64" s="18" t="str">
        <x:v>All FS / TS</x:v>
      </x:c>
      <x:c r="X64" s="18" t="str">
        <x:v>Submitted Gantt</x:v>
      </x:c>
    </x:row>
    <x:row r="65" ht="38" customHeight="1">
      <x:c r="A65" s="2" t="str">
        <x:v>D7</x:v>
      </x:c>
      <x:c r="B65" s="18" t="str">
        <x:v>Rehearse group and individual presentation parts</x:v>
      </x:c>
      <x:c r="C65" s="18" t="str">
        <x:v>All four</x:v>
      </x:c>
      <x:c r="D65" s="2" t="str">
        <x:v>Planned</x:v>
      </x:c>
      <x:c r="E65" s="15" t="d">
        <x:v>2026-12-07T00:00:00.000Z</x:v>
      </x:c>
      <x:c r="F65" s="15" t="d">
        <x:v>2026-12-08T00:00:00.000Z</x:v>
      </x:c>
      <x:c r="G65" s="2" t="n">
        <x:f>IF(OR(E65="",F65="",I65="Either date"),"",IF(F65&lt;E65,"Review",F65-E65+1))</x:f>
        <x:v>2</x:v>
      </x:c>
      <x:c r="H65" s="18" t="str">
        <x:v>D6</x:v>
      </x:c>
      <x:c r="I65" s="18" t="str">
        <x:v>Window</x:v>
      </x:c>
      <x:c r="J65" s="35" t="str">
        <x:f>IF(OR($E65="",$F65=""),"",IF($I65="Either date",IF(OR(AND(J$15&lt;=$E65,J$15+6&gt;=$E65),AND(J$15&lt;=$F65,J$15+6&gt;=$F65)),3,""),IF(AND(J$15&lt;=$F65,J$15+6&gt;=$E65),IF($I65="Milestone",IF(AND(OR($D65="Complete",$D65="Submitted"),$F65&gt;Sources!$C$5),"T",2),IF(AND(OR($D65="Complete",$D65="Submitted"),J$15&gt;Sources!$C$5),4,1)),"")))</x:f>
      </x:c>
      <x:c r="K65" s="35" t="str">
        <x:f>IF(OR($E65="",$F65=""),"",IF($I65="Either date",IF(OR(AND(K$15&lt;=$E65,K$15+6&gt;=$E65),AND(K$15&lt;=$F65,K$15+6&gt;=$F65)),3,""),IF(AND(K$15&lt;=$F65,K$15+6&gt;=$E65),IF($I65="Milestone",IF(AND(OR($D65="Complete",$D65="Submitted"),$F65&gt;Sources!$C$5),"T",2),IF(AND(OR($D65="Complete",$D65="Submitted"),K$15&gt;Sources!$C$5),4,1)),"")))</x:f>
      </x:c>
      <x:c r="L65" s="35" t="str">
        <x:f>IF(OR($E65="",$F65=""),"",IF($I65="Either date",IF(OR(AND(L$15&lt;=$E65,L$15+6&gt;=$E65),AND(L$15&lt;=$F65,L$15+6&gt;=$F65)),3,""),IF(AND(L$15&lt;=$F65,L$15+6&gt;=$E65),IF($I65="Milestone",IF(AND(OR($D65="Complete",$D65="Submitted"),$F65&gt;Sources!$C$5),"T",2),IF(AND(OR($D65="Complete",$D65="Submitted"),L$15&gt;Sources!$C$5),4,1)),"")))</x:f>
      </x:c>
      <x:c r="M65" s="35" t="str">
        <x:f>IF(OR($E65="",$F65=""),"",IF($I65="Either date",IF(OR(AND(M$15&lt;=$E65,M$15+6&gt;=$E65),AND(M$15&lt;=$F65,M$15+6&gt;=$F65)),3,""),IF(AND(M$15&lt;=$F65,M$15+6&gt;=$E65),IF($I65="Milestone",IF(AND(OR($D65="Complete",$D65="Submitted"),$F65&gt;Sources!$C$5),"T",2),IF(AND(OR($D65="Complete",$D65="Submitted"),M$15&gt;Sources!$C$5),4,1)),"")))</x:f>
      </x:c>
      <x:c r="N65" s="35" t="str">
        <x:f>IF(OR($E65="",$F65=""),"",IF($I65="Either date",IF(OR(AND(N$15&lt;=$E65,N$15+6&gt;=$E65),AND(N$15&lt;=$F65,N$15+6&gt;=$F65)),3,""),IF(AND(N$15&lt;=$F65,N$15+6&gt;=$E65),IF($I65="Milestone",IF(AND(OR($D65="Complete",$D65="Submitted"),$F65&gt;Sources!$C$5),"T",2),IF(AND(OR($D65="Complete",$D65="Submitted"),N$15&gt;Sources!$C$5),4,1)),"")))</x:f>
      </x:c>
      <x:c r="O65" s="35" t="str">
        <x:f>IF(OR($E65="",$F65=""),"",IF($I65="Either date",IF(OR(AND(O$15&lt;=$E65,O$15+6&gt;=$E65),AND(O$15&lt;=$F65,O$15+6&gt;=$F65)),3,""),IF(AND(O$15&lt;=$F65,O$15+6&gt;=$E65),IF($I65="Milestone",IF(AND(OR($D65="Complete",$D65="Submitted"),$F65&gt;Sources!$C$5),"T",2),IF(AND(OR($D65="Complete",$D65="Submitted"),O$15&gt;Sources!$C$5),4,1)),"")))</x:f>
      </x:c>
      <x:c r="P65" s="35" t="str">
        <x:f>IF(OR($E65="",$F65=""),"",IF($I65="Either date",IF(OR(AND(P$15&lt;=$E65,P$15+6&gt;=$E65),AND(P$15&lt;=$F65,P$15+6&gt;=$F65)),3,""),IF(AND(P$15&lt;=$F65,P$15+6&gt;=$E65),IF($I65="Milestone",IF(AND(OR($D65="Complete",$D65="Submitted"),$F65&gt;Sources!$C$5),"T",2),IF(AND(OR($D65="Complete",$D65="Submitted"),P$15&gt;Sources!$C$5),4,1)),"")))</x:f>
      </x:c>
      <x:c r="Q65" s="35" t="str">
        <x:f>IF(OR($E65="",$F65=""),"",IF($I65="Either date",IF(OR(AND(Q$15&lt;=$E65,Q$15+6&gt;=$E65),AND(Q$15&lt;=$F65,Q$15+6&gt;=$F65)),3,""),IF(AND(Q$15&lt;=$F65,Q$15+6&gt;=$E65),IF($I65="Milestone",IF(AND(OR($D65="Complete",$D65="Submitted"),$F65&gt;Sources!$C$5),"T",2),IF(AND(OR($D65="Complete",$D65="Submitted"),Q$15&gt;Sources!$C$5),4,1)),"")))</x:f>
      </x:c>
      <x:c r="R65" s="35" t="str">
        <x:f>IF(OR($E65="",$F65=""),"",IF($I65="Either date",IF(OR(AND(R$15&lt;=$E65,R$15+6&gt;=$E65),AND(R$15&lt;=$F65,R$15+6&gt;=$F65)),3,""),IF(AND(R$15&lt;=$F65,R$15+6&gt;=$E65),IF($I65="Milestone",IF(AND(OR($D65="Complete",$D65="Submitted"),$F65&gt;Sources!$C$5),"T",2),IF(AND(OR($D65="Complete",$D65="Submitted"),R$15&gt;Sources!$C$5),4,1)),"")))</x:f>
      </x:c>
      <x:c r="S65" s="35" t="str">
        <x:f>IF(OR($E65="",$F65=""),"",IF($I65="Either date",IF(OR(AND(S$15&lt;=$E65,S$15+6&gt;=$E65),AND(S$15&lt;=$F65,S$15+6&gt;=$F65)),3,""),IF(AND(S$15&lt;=$F65,S$15+6&gt;=$E65),IF($I65="Milestone",IF(AND(OR($D65="Complete",$D65="Submitted"),$F65&gt;Sources!$C$5),"T",2),IF(AND(OR($D65="Complete",$D65="Submitted"),S$15&gt;Sources!$C$5),4,1)),"")))</x:f>
      </x:c>
      <x:c r="T65" s="35" t="n">
        <x:f>IF(OR($E65="",$F65=""),"",IF($I65="Either date",IF(OR(AND(T$15&lt;=$E65,T$15+6&gt;=$E65),AND(T$15&lt;=$F65,T$15+6&gt;=$F65)),3,""),IF(AND(T$15&lt;=$F65,T$15+6&gt;=$E65),IF($I65="Milestone",IF(AND(OR($D65="Complete",$D65="Submitted"),$F65&gt;Sources!$C$5),"T",2),IF(AND(OR($D65="Complete",$D65="Submitted"),T$15&gt;Sources!$C$5),4,1)),"")))</x:f>
        <x:v>1</x:v>
      </x:c>
      <x:c r="U65" s="2"/>
      <x:c r="V65" s="2" t="str"/>
      <x:c r="W65" s="18" t="str">
        <x:v>Course deliverables</x:v>
      </x:c>
      <x:c r="X65" s="18" t="str">
        <x:v>Submitted Gantt</x:v>
      </x:c>
    </x:row>
    <x:row r="66" ht="38" customHeight="1">
      <x:c r="A66" s="36" t="str">
        <x:v>M8</x:v>
      </x:c>
      <x:c r="B66" s="37" t="str">
        <x:v>Team milestone: final presentation ready</x:v>
      </x:c>
      <x:c r="C66" s="37" t="str">
        <x:v>All four</x:v>
      </x:c>
      <x:c r="D66" s="36" t="str">
        <x:v>Planned</x:v>
      </x:c>
      <x:c r="E66" s="38" t="d">
        <x:v>2026-12-08T00:00:00.000Z</x:v>
      </x:c>
      <x:c r="F66" s="38" t="d">
        <x:v>2026-12-08T00:00:00.000Z</x:v>
      </x:c>
      <x:c r="G66" s="36" t="n">
        <x:f>IF(OR(E66="",F66="",I66="Either date"),"",IF(F66&lt;E66,"Review",F66-E66+1))</x:f>
        <x:v>1</x:v>
      </x:c>
      <x:c r="H66" s="37" t="str">
        <x:v>D7</x:v>
      </x:c>
      <x:c r="I66" s="37" t="str">
        <x:v>Milestone</x:v>
      </x:c>
      <x:c r="J66" s="35" t="str">
        <x:f>IF(OR($E66="",$F66=""),"",IF($I66="Either date",IF(OR(AND(J$15&lt;=$E66,J$15+6&gt;=$E66),AND(J$15&lt;=$F66,J$15+6&gt;=$F66)),3,""),IF(AND(J$15&lt;=$F66,J$15+6&gt;=$E66),IF($I66="Milestone",IF(AND(OR($D66="Complete",$D66="Submitted"),$F66&gt;Sources!$C$5),"T",2),IF(AND(OR($D66="Complete",$D66="Submitted"),J$15&gt;Sources!$C$5),4,1)),"")))</x:f>
      </x:c>
      <x:c r="K66" s="35" t="str">
        <x:f>IF(OR($E66="",$F66=""),"",IF($I66="Either date",IF(OR(AND(K$15&lt;=$E66,K$15+6&gt;=$E66),AND(K$15&lt;=$F66,K$15+6&gt;=$F66)),3,""),IF(AND(K$15&lt;=$F66,K$15+6&gt;=$E66),IF($I66="Milestone",IF(AND(OR($D66="Complete",$D66="Submitted"),$F66&gt;Sources!$C$5),"T",2),IF(AND(OR($D66="Complete",$D66="Submitted"),K$15&gt;Sources!$C$5),4,1)),"")))</x:f>
      </x:c>
      <x:c r="L66" s="35" t="str">
        <x:f>IF(OR($E66="",$F66=""),"",IF($I66="Either date",IF(OR(AND(L$15&lt;=$E66,L$15+6&gt;=$E66),AND(L$15&lt;=$F66,L$15+6&gt;=$F66)),3,""),IF(AND(L$15&lt;=$F66,L$15+6&gt;=$E66),IF($I66="Milestone",IF(AND(OR($D66="Complete",$D66="Submitted"),$F66&gt;Sources!$C$5),"T",2),IF(AND(OR($D66="Complete",$D66="Submitted"),L$15&gt;Sources!$C$5),4,1)),"")))</x:f>
      </x:c>
      <x:c r="M66" s="35" t="str">
        <x:f>IF(OR($E66="",$F66=""),"",IF($I66="Either date",IF(OR(AND(M$15&lt;=$E66,M$15+6&gt;=$E66),AND(M$15&lt;=$F66,M$15+6&gt;=$F66)),3,""),IF(AND(M$15&lt;=$F66,M$15+6&gt;=$E66),IF($I66="Milestone",IF(AND(OR($D66="Complete",$D66="Submitted"),$F66&gt;Sources!$C$5),"T",2),IF(AND(OR($D66="Complete",$D66="Submitted"),M$15&gt;Sources!$C$5),4,1)),"")))</x:f>
      </x:c>
      <x:c r="N66" s="35" t="str">
        <x:f>IF(OR($E66="",$F66=""),"",IF($I66="Either date",IF(OR(AND(N$15&lt;=$E66,N$15+6&gt;=$E66),AND(N$15&lt;=$F66,N$15+6&gt;=$F66)),3,""),IF(AND(N$15&lt;=$F66,N$15+6&gt;=$E66),IF($I66="Milestone",IF(AND(OR($D66="Complete",$D66="Submitted"),$F66&gt;Sources!$C$5),"T",2),IF(AND(OR($D66="Complete",$D66="Submitted"),N$15&gt;Sources!$C$5),4,1)),"")))</x:f>
      </x:c>
      <x:c r="O66" s="35" t="str">
        <x:f>IF(OR($E66="",$F66=""),"",IF($I66="Either date",IF(OR(AND(O$15&lt;=$E66,O$15+6&gt;=$E66),AND(O$15&lt;=$F66,O$15+6&gt;=$F66)),3,""),IF(AND(O$15&lt;=$F66,O$15+6&gt;=$E66),IF($I66="Milestone",IF(AND(OR($D66="Complete",$D66="Submitted"),$F66&gt;Sources!$C$5),"T",2),IF(AND(OR($D66="Complete",$D66="Submitted"),O$15&gt;Sources!$C$5),4,1)),"")))</x:f>
      </x:c>
      <x:c r="P66" s="35" t="str">
        <x:f>IF(OR($E66="",$F66=""),"",IF($I66="Either date",IF(OR(AND(P$15&lt;=$E66,P$15+6&gt;=$E66),AND(P$15&lt;=$F66,P$15+6&gt;=$F66)),3,""),IF(AND(P$15&lt;=$F66,P$15+6&gt;=$E66),IF($I66="Milestone",IF(AND(OR($D66="Complete",$D66="Submitted"),$F66&gt;Sources!$C$5),"T",2),IF(AND(OR($D66="Complete",$D66="Submitted"),P$15&gt;Sources!$C$5),4,1)),"")))</x:f>
      </x:c>
      <x:c r="Q66" s="35" t="str">
        <x:f>IF(OR($E66="",$F66=""),"",IF($I66="Either date",IF(OR(AND(Q$15&lt;=$E66,Q$15+6&gt;=$E66),AND(Q$15&lt;=$F66,Q$15+6&gt;=$F66)),3,""),IF(AND(Q$15&lt;=$F66,Q$15+6&gt;=$E66),IF($I66="Milestone",IF(AND(OR($D66="Complete",$D66="Submitted"),$F66&gt;Sources!$C$5),"T",2),IF(AND(OR($D66="Complete",$D66="Submitted"),Q$15&gt;Sources!$C$5),4,1)),"")))</x:f>
      </x:c>
      <x:c r="R66" s="35" t="str">
        <x:f>IF(OR($E66="",$F66=""),"",IF($I66="Either date",IF(OR(AND(R$15&lt;=$E66,R$15+6&gt;=$E66),AND(R$15&lt;=$F66,R$15+6&gt;=$F66)),3,""),IF(AND(R$15&lt;=$F66,R$15+6&gt;=$E66),IF($I66="Milestone",IF(AND(OR($D66="Complete",$D66="Submitted"),$F66&gt;Sources!$C$5),"T",2),IF(AND(OR($D66="Complete",$D66="Submitted"),R$15&gt;Sources!$C$5),4,1)),"")))</x:f>
      </x:c>
      <x:c r="S66" s="35" t="str">
        <x:f>IF(OR($E66="",$F66=""),"",IF($I66="Either date",IF(OR(AND(S$15&lt;=$E66,S$15+6&gt;=$E66),AND(S$15&lt;=$F66,S$15+6&gt;=$F66)),3,""),IF(AND(S$15&lt;=$F66,S$15+6&gt;=$E66),IF($I66="Milestone",IF(AND(OR($D66="Complete",$D66="Submitted"),$F66&gt;Sources!$C$5),"T",2),IF(AND(OR($D66="Complete",$D66="Submitted"),S$15&gt;Sources!$C$5),4,1)),"")))</x:f>
      </x:c>
      <x:c r="T66" s="35" t="n">
        <x:f>IF(OR($E66="",$F66=""),"",IF($I66="Either date",IF(OR(AND(T$15&lt;=$E66,T$15+6&gt;=$E66),AND(T$15&lt;=$F66,T$15+6&gt;=$F66)),3,""),IF(AND(T$15&lt;=$F66,T$15+6&gt;=$E66),IF($I66="Milestone",IF(AND(OR($D66="Complete",$D66="Submitted"),$F66&gt;Sources!$C$5),"T",2),IF(AND(OR($D66="Complete",$D66="Submitted"),T$15&gt;Sources!$C$5),4,1)),"")))</x:f>
        <x:v>2</x:v>
      </x:c>
      <x:c r="U66" s="2"/>
      <x:c r="V66" s="2" t="str"/>
      <x:c r="W66" s="18" t="str">
        <x:v>All FS / TS</x:v>
      </x:c>
      <x:c r="X66" s="18" t="str">
        <x:v>Submitted Gantt</x:v>
      </x:c>
    </x:row>
    <x:row r="67" ht="38" customHeight="1">
      <x:c r="A67" s="2" t="str">
        <x:v>D8</x:v>
      </x:c>
      <x:c r="B67" s="18" t="str">
        <x:v>Final presentation delivery / submission</x:v>
      </x:c>
      <x:c r="C67" s="18" t="str">
        <x:v>Joseph</x:v>
      </x:c>
      <x:c r="D67" s="2" t="str">
        <x:v>Planned</x:v>
      </x:c>
      <x:c r="E67" s="15" t="d">
        <x:v>2026-12-09T00:00:00.000Z</x:v>
      </x:c>
      <x:c r="F67" s="15" t="d">
        <x:v>2026-12-09T00:00:00.000Z</x:v>
      </x:c>
      <x:c r="G67" s="2" t="n">
        <x:f>IF(OR(E67="",F67="",I67="Either date"),"",IF(F67&lt;E67,"Review",F67-E67+1))</x:f>
        <x:v>1</x:v>
      </x:c>
      <x:c r="H67" s="18" t="str">
        <x:v>M8</x:v>
      </x:c>
      <x:c r="I67" s="18" t="str">
        <x:v>Window</x:v>
      </x:c>
      <x:c r="J67" s="35" t="str">
        <x:f>IF(OR($E67="",$F67=""),"",IF($I67="Either date",IF(OR(AND(J$15&lt;=$E67,J$15+6&gt;=$E67),AND(J$15&lt;=$F67,J$15+6&gt;=$F67)),3,""),IF(AND(J$15&lt;=$F67,J$15+6&gt;=$E67),IF($I67="Milestone",IF(AND(OR($D67="Complete",$D67="Submitted"),$F67&gt;Sources!$C$5),"T",2),IF(AND(OR($D67="Complete",$D67="Submitted"),J$15&gt;Sources!$C$5),4,1)),"")))</x:f>
      </x:c>
      <x:c r="K67" s="35" t="str">
        <x:f>IF(OR($E67="",$F67=""),"",IF($I67="Either date",IF(OR(AND(K$15&lt;=$E67,K$15+6&gt;=$E67),AND(K$15&lt;=$F67,K$15+6&gt;=$F67)),3,""),IF(AND(K$15&lt;=$F67,K$15+6&gt;=$E67),IF($I67="Milestone",IF(AND(OR($D67="Complete",$D67="Submitted"),$F67&gt;Sources!$C$5),"T",2),IF(AND(OR($D67="Complete",$D67="Submitted"),K$15&gt;Sources!$C$5),4,1)),"")))</x:f>
      </x:c>
      <x:c r="L67" s="35" t="str">
        <x:f>IF(OR($E67="",$F67=""),"",IF($I67="Either date",IF(OR(AND(L$15&lt;=$E67,L$15+6&gt;=$E67),AND(L$15&lt;=$F67,L$15+6&gt;=$F67)),3,""),IF(AND(L$15&lt;=$F67,L$15+6&gt;=$E67),IF($I67="Milestone",IF(AND(OR($D67="Complete",$D67="Submitted"),$F67&gt;Sources!$C$5),"T",2),IF(AND(OR($D67="Complete",$D67="Submitted"),L$15&gt;Sources!$C$5),4,1)),"")))</x:f>
      </x:c>
      <x:c r="M67" s="35" t="str">
        <x:f>IF(OR($E67="",$F67=""),"",IF($I67="Either date",IF(OR(AND(M$15&lt;=$E67,M$15+6&gt;=$E67),AND(M$15&lt;=$F67,M$15+6&gt;=$F67)),3,""),IF(AND(M$15&lt;=$F67,M$15+6&gt;=$E67),IF($I67="Milestone",IF(AND(OR($D67="Complete",$D67="Submitted"),$F67&gt;Sources!$C$5),"T",2),IF(AND(OR($D67="Complete",$D67="Submitted"),M$15&gt;Sources!$C$5),4,1)),"")))</x:f>
      </x:c>
      <x:c r="N67" s="35" t="str">
        <x:f>IF(OR($E67="",$F67=""),"",IF($I67="Either date",IF(OR(AND(N$15&lt;=$E67,N$15+6&gt;=$E67),AND(N$15&lt;=$F67,N$15+6&gt;=$F67)),3,""),IF(AND(N$15&lt;=$F67,N$15+6&gt;=$E67),IF($I67="Milestone",IF(AND(OR($D67="Complete",$D67="Submitted"),$F67&gt;Sources!$C$5),"T",2),IF(AND(OR($D67="Complete",$D67="Submitted"),N$15&gt;Sources!$C$5),4,1)),"")))</x:f>
      </x:c>
      <x:c r="O67" s="35" t="str">
        <x:f>IF(OR($E67="",$F67=""),"",IF($I67="Either date",IF(OR(AND(O$15&lt;=$E67,O$15+6&gt;=$E67),AND(O$15&lt;=$F67,O$15+6&gt;=$F67)),3,""),IF(AND(O$15&lt;=$F67,O$15+6&gt;=$E67),IF($I67="Milestone",IF(AND(OR($D67="Complete",$D67="Submitted"),$F67&gt;Sources!$C$5),"T",2),IF(AND(OR($D67="Complete",$D67="Submitted"),O$15&gt;Sources!$C$5),4,1)),"")))</x:f>
      </x:c>
      <x:c r="P67" s="35" t="str">
        <x:f>IF(OR($E67="",$F67=""),"",IF($I67="Either date",IF(OR(AND(P$15&lt;=$E67,P$15+6&gt;=$E67),AND(P$15&lt;=$F67,P$15+6&gt;=$F67)),3,""),IF(AND(P$15&lt;=$F67,P$15+6&gt;=$E67),IF($I67="Milestone",IF(AND(OR($D67="Complete",$D67="Submitted"),$F67&gt;Sources!$C$5),"T",2),IF(AND(OR($D67="Complete",$D67="Submitted"),P$15&gt;Sources!$C$5),4,1)),"")))</x:f>
      </x:c>
      <x:c r="Q67" s="35" t="str">
        <x:f>IF(OR($E67="",$F67=""),"",IF($I67="Either date",IF(OR(AND(Q$15&lt;=$E67,Q$15+6&gt;=$E67),AND(Q$15&lt;=$F67,Q$15+6&gt;=$F67)),3,""),IF(AND(Q$15&lt;=$F67,Q$15+6&gt;=$E67),IF($I67="Milestone",IF(AND(OR($D67="Complete",$D67="Submitted"),$F67&gt;Sources!$C$5),"T",2),IF(AND(OR($D67="Complete",$D67="Submitted"),Q$15&gt;Sources!$C$5),4,1)),"")))</x:f>
      </x:c>
      <x:c r="R67" s="35" t="str">
        <x:f>IF(OR($E67="",$F67=""),"",IF($I67="Either date",IF(OR(AND(R$15&lt;=$E67,R$15+6&gt;=$E67),AND(R$15&lt;=$F67,R$15+6&gt;=$F67)),3,""),IF(AND(R$15&lt;=$F67,R$15+6&gt;=$E67),IF($I67="Milestone",IF(AND(OR($D67="Complete",$D67="Submitted"),$F67&gt;Sources!$C$5),"T",2),IF(AND(OR($D67="Complete",$D67="Submitted"),R$15&gt;Sources!$C$5),4,1)),"")))</x:f>
      </x:c>
      <x:c r="S67" s="35" t="str">
        <x:f>IF(OR($E67="",$F67=""),"",IF($I67="Either date",IF(OR(AND(S$15&lt;=$E67,S$15+6&gt;=$E67),AND(S$15&lt;=$F67,S$15+6&gt;=$F67)),3,""),IF(AND(S$15&lt;=$F67,S$15+6&gt;=$E67),IF($I67="Milestone",IF(AND(OR($D67="Complete",$D67="Submitted"),$F67&gt;Sources!$C$5),"T",2),IF(AND(OR($D67="Complete",$D67="Submitted"),S$15&gt;Sources!$C$5),4,1)),"")))</x:f>
      </x:c>
      <x:c r="T67" s="35" t="n">
        <x:f>IF(OR($E67="",$F67=""),"",IF($I67="Either date",IF(OR(AND(T$15&lt;=$E67,T$15+6&gt;=$E67),AND(T$15&lt;=$F67,T$15+6&gt;=$F67)),3,""),IF(AND(T$15&lt;=$F67,T$15+6&gt;=$E67),IF($I67="Milestone",IF(AND(OR($D67="Complete",$D67="Submitted"),$F67&gt;Sources!$C$5),"T",2),IF(AND(OR($D67="Complete",$D67="Submitted"),T$15&gt;Sources!$C$5),4,1)),"")))</x:f>
        <x:v>1</x:v>
      </x:c>
      <x:c r="U67" s="2"/>
      <x:c r="V67" s="2" t="str"/>
      <x:c r="W67" s="18" t="str">
        <x:v>Course deliverables</x:v>
      </x:c>
      <x:c r="X67" s="18" t="str">
        <x:v>Submitted Gantt</x:v>
      </x:c>
    </x:row>
    <x:row r="68" ht="24" customHeight="1">
      <x:c r="A68" s="33" t="str">
        <x:v>Weekly project logs</x:v>
      </x:c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2"/>
      <x:c r="V68" s="2"/>
      <x:c r="W68" s="18"/>
      <x:c r="X68" s="18"/>
    </x:row>
    <x:row r="69" ht="38" customHeight="1">
      <x:c r="A69" s="36" t="str">
        <x:v>L6</x:v>
      </x:c>
      <x:c r="B69" s="37" t="str">
        <x:v>Maintain and submit Week 6 project log</x:v>
      </x:c>
      <x:c r="C69" s="37" t="str">
        <x:v>All four</x:v>
      </x:c>
      <x:c r="D69" s="36" t="str">
        <x:v>Complete</x:v>
      </x:c>
      <x:c r="E69" s="38" t="d">
        <x:v>2026-09-28T00:00:00.000Z</x:v>
      </x:c>
      <x:c r="F69" s="38" t="d">
        <x:v>2026-10-02T00:00:00.000Z</x:v>
      </x:c>
      <x:c r="G69" s="36" t="n">
        <x:f>IF(OR(E69="",F69="",I69="Either date"),"",IF(F69&lt;E69,"Review",F69-E69+1))</x:f>
        <x:v>5</x:v>
      </x:c>
      <x:c r="H69" s="37" t="str"/>
      <x:c r="I69" s="37" t="str">
        <x:v>Window</x:v>
      </x:c>
      <x:c r="J69" s="35" t="n">
        <x:f>IF(OR($E69="",$F69=""),"",IF($I69="Either date",IF(OR(AND(J$15&lt;=$E69,J$15+6&gt;=$E69),AND(J$15&lt;=$F69,J$15+6&gt;=$F69)),3,""),IF(AND(J$15&lt;=$F69,J$15+6&gt;=$E69),IF($I69="Milestone",IF(AND(OR($D69="Complete",$D69="Submitted"),$F69&gt;Sources!$C$5),"T",2),IF(AND(OR($D69="Complete",$D69="Submitted"),J$15&gt;Sources!$C$5),4,1)),"")))</x:f>
        <x:v>1</x:v>
      </x:c>
      <x:c r="K69" s="35" t="str">
        <x:f>IF(OR($E69="",$F69=""),"",IF($I69="Either date",IF(OR(AND(K$15&lt;=$E69,K$15+6&gt;=$E69),AND(K$15&lt;=$F69,K$15+6&gt;=$F69)),3,""),IF(AND(K$15&lt;=$F69,K$15+6&gt;=$E69),IF($I69="Milestone",IF(AND(OR($D69="Complete",$D69="Submitted"),$F69&gt;Sources!$C$5),"T",2),IF(AND(OR($D69="Complete",$D69="Submitted"),K$15&gt;Sources!$C$5),4,1)),"")))</x:f>
      </x:c>
      <x:c r="L69" s="35" t="str">
        <x:f>IF(OR($E69="",$F69=""),"",IF($I69="Either date",IF(OR(AND(L$15&lt;=$E69,L$15+6&gt;=$E69),AND(L$15&lt;=$F69,L$15+6&gt;=$F69)),3,""),IF(AND(L$15&lt;=$F69,L$15+6&gt;=$E69),IF($I69="Milestone",IF(AND(OR($D69="Complete",$D69="Submitted"),$F69&gt;Sources!$C$5),"T",2),IF(AND(OR($D69="Complete",$D69="Submitted"),L$15&gt;Sources!$C$5),4,1)),"")))</x:f>
      </x:c>
      <x:c r="M69" s="35" t="str">
        <x:f>IF(OR($E69="",$F69=""),"",IF($I69="Either date",IF(OR(AND(M$15&lt;=$E69,M$15+6&gt;=$E69),AND(M$15&lt;=$F69,M$15+6&gt;=$F69)),3,""),IF(AND(M$15&lt;=$F69,M$15+6&gt;=$E69),IF($I69="Milestone",IF(AND(OR($D69="Complete",$D69="Submitted"),$F69&gt;Sources!$C$5),"T",2),IF(AND(OR($D69="Complete",$D69="Submitted"),M$15&gt;Sources!$C$5),4,1)),"")))</x:f>
      </x:c>
      <x:c r="N69" s="35" t="str">
        <x:f>IF(OR($E69="",$F69=""),"",IF($I69="Either date",IF(OR(AND(N$15&lt;=$E69,N$15+6&gt;=$E69),AND(N$15&lt;=$F69,N$15+6&gt;=$F69)),3,""),IF(AND(N$15&lt;=$F69,N$15+6&gt;=$E69),IF($I69="Milestone",IF(AND(OR($D69="Complete",$D69="Submitted"),$F69&gt;Sources!$C$5),"T",2),IF(AND(OR($D69="Complete",$D69="Submitted"),N$15&gt;Sources!$C$5),4,1)),"")))</x:f>
      </x:c>
      <x:c r="O69" s="35" t="str">
        <x:f>IF(OR($E69="",$F69=""),"",IF($I69="Either date",IF(OR(AND(O$15&lt;=$E69,O$15+6&gt;=$E69),AND(O$15&lt;=$F69,O$15+6&gt;=$F69)),3,""),IF(AND(O$15&lt;=$F69,O$15+6&gt;=$E69),IF($I69="Milestone",IF(AND(OR($D69="Complete",$D69="Submitted"),$F69&gt;Sources!$C$5),"T",2),IF(AND(OR($D69="Complete",$D69="Submitted"),O$15&gt;Sources!$C$5),4,1)),"")))</x:f>
      </x:c>
      <x:c r="P69" s="35" t="str">
        <x:f>IF(OR($E69="",$F69=""),"",IF($I69="Either date",IF(OR(AND(P$15&lt;=$E69,P$15+6&gt;=$E69),AND(P$15&lt;=$F69,P$15+6&gt;=$F69)),3,""),IF(AND(P$15&lt;=$F69,P$15+6&gt;=$E69),IF($I69="Milestone",IF(AND(OR($D69="Complete",$D69="Submitted"),$F69&gt;Sources!$C$5),"T",2),IF(AND(OR($D69="Complete",$D69="Submitted"),P$15&gt;Sources!$C$5),4,1)),"")))</x:f>
      </x:c>
      <x:c r="Q69" s="35" t="str">
        <x:f>IF(OR($E69="",$F69=""),"",IF($I69="Either date",IF(OR(AND(Q$15&lt;=$E69,Q$15+6&gt;=$E69),AND(Q$15&lt;=$F69,Q$15+6&gt;=$F69)),3,""),IF(AND(Q$15&lt;=$F69,Q$15+6&gt;=$E69),IF($I69="Milestone",IF(AND(OR($D69="Complete",$D69="Submitted"),$F69&gt;Sources!$C$5),"T",2),IF(AND(OR($D69="Complete",$D69="Submitted"),Q$15&gt;Sources!$C$5),4,1)),"")))</x:f>
      </x:c>
      <x:c r="R69" s="35" t="str">
        <x:f>IF(OR($E69="",$F69=""),"",IF($I69="Either date",IF(OR(AND(R$15&lt;=$E69,R$15+6&gt;=$E69),AND(R$15&lt;=$F69,R$15+6&gt;=$F69)),3,""),IF(AND(R$15&lt;=$F69,R$15+6&gt;=$E69),IF($I69="Milestone",IF(AND(OR($D69="Complete",$D69="Submitted"),$F69&gt;Sources!$C$5),"T",2),IF(AND(OR($D69="Complete",$D69="Submitted"),R$15&gt;Sources!$C$5),4,1)),"")))</x:f>
      </x:c>
      <x:c r="S69" s="35" t="str">
        <x:f>IF(OR($E69="",$F69=""),"",IF($I69="Either date",IF(OR(AND(S$15&lt;=$E69,S$15+6&gt;=$E69),AND(S$15&lt;=$F69,S$15+6&gt;=$F69)),3,""),IF(AND(S$15&lt;=$F69,S$15+6&gt;=$E69),IF($I69="Milestone",IF(AND(OR($D69="Complete",$D69="Submitted"),$F69&gt;Sources!$C$5),"T",2),IF(AND(OR($D69="Complete",$D69="Submitted"),S$15&gt;Sources!$C$5),4,1)),"")))</x:f>
      </x:c>
      <x:c r="T69" s="35" t="str">
        <x:f>IF(OR($E69="",$F69=""),"",IF($I69="Either date",IF(OR(AND(T$15&lt;=$E69,T$15+6&gt;=$E69),AND(T$15&lt;=$F69,T$15+6&gt;=$F69)),3,""),IF(AND(T$15&lt;=$F69,T$15+6&gt;=$E69),IF($I69="Milestone",IF(AND(OR($D69="Complete",$D69="Submitted"),$F69&gt;Sources!$C$5),"T",2),IF(AND(OR($D69="Complete",$D69="Submitted"),T$15&gt;Sources!$C$5),4,1)),"")))</x:f>
      </x:c>
      <x:c r="U69" s="2"/>
      <x:c r="V69" s="2" t="str"/>
      <x:c r="W69" s="18" t="str">
        <x:v>Course log</x:v>
      </x:c>
      <x:c r="X69" s="18" t="str">
        <x:v>Submitted Gantt</x:v>
      </x:c>
    </x:row>
    <x:row r="70" ht="38" customHeight="1">
      <x:c r="A70" s="2" t="str">
        <x:v>L7</x:v>
      </x:c>
      <x:c r="B70" s="18" t="str">
        <x:v>Maintain and submit Week 7 project log</x:v>
      </x:c>
      <x:c r="C70" s="18" t="str">
        <x:v>All four</x:v>
      </x:c>
      <x:c r="D70" s="2" t="str">
        <x:v>Complete</x:v>
      </x:c>
      <x:c r="E70" s="15" t="d">
        <x:v>2026-10-05T00:00:00.000Z</x:v>
      </x:c>
      <x:c r="F70" s="15" t="d">
        <x:v>2026-10-09T00:00:00.000Z</x:v>
      </x:c>
      <x:c r="G70" s="2" t="n">
        <x:f>IF(OR(E70="",F70="",I70="Either date"),"",IF(F70&lt;E70,"Review",F70-E70+1))</x:f>
        <x:v>5</x:v>
      </x:c>
      <x:c r="H70" s="18" t="str"/>
      <x:c r="I70" s="18" t="str">
        <x:v>Window</x:v>
      </x:c>
      <x:c r="J70" s="35" t="str">
        <x:f>IF(OR($E70="",$F70=""),"",IF($I70="Either date",IF(OR(AND(J$15&lt;=$E70,J$15+6&gt;=$E70),AND(J$15&lt;=$F70,J$15+6&gt;=$F70)),3,""),IF(AND(J$15&lt;=$F70,J$15+6&gt;=$E70),IF($I70="Milestone",IF(AND(OR($D70="Complete",$D70="Submitted"),$F70&gt;Sources!$C$5),"T",2),IF(AND(OR($D70="Complete",$D70="Submitted"),J$15&gt;Sources!$C$5),4,1)),"")))</x:f>
      </x:c>
      <x:c r="K70" s="35" t="n">
        <x:f>IF(OR($E70="",$F70=""),"",IF($I70="Either date",IF(OR(AND(K$15&lt;=$E70,K$15+6&gt;=$E70),AND(K$15&lt;=$F70,K$15+6&gt;=$F70)),3,""),IF(AND(K$15&lt;=$F70,K$15+6&gt;=$E70),IF($I70="Milestone",IF(AND(OR($D70="Complete",$D70="Submitted"),$F70&gt;Sources!$C$5),"T",2),IF(AND(OR($D70="Complete",$D70="Submitted"),K$15&gt;Sources!$C$5),4,1)),"")))</x:f>
        <x:v>1</x:v>
      </x:c>
      <x:c r="L70" s="35" t="str">
        <x:f>IF(OR($E70="",$F70=""),"",IF($I70="Either date",IF(OR(AND(L$15&lt;=$E70,L$15+6&gt;=$E70),AND(L$15&lt;=$F70,L$15+6&gt;=$F70)),3,""),IF(AND(L$15&lt;=$F70,L$15+6&gt;=$E70),IF($I70="Milestone",IF(AND(OR($D70="Complete",$D70="Submitted"),$F70&gt;Sources!$C$5),"T",2),IF(AND(OR($D70="Complete",$D70="Submitted"),L$15&gt;Sources!$C$5),4,1)),"")))</x:f>
      </x:c>
      <x:c r="M70" s="35" t="str">
        <x:f>IF(OR($E70="",$F70=""),"",IF($I70="Either date",IF(OR(AND(M$15&lt;=$E70,M$15+6&gt;=$E70),AND(M$15&lt;=$F70,M$15+6&gt;=$F70)),3,""),IF(AND(M$15&lt;=$F70,M$15+6&gt;=$E70),IF($I70="Milestone",IF(AND(OR($D70="Complete",$D70="Submitted"),$F70&gt;Sources!$C$5),"T",2),IF(AND(OR($D70="Complete",$D70="Submitted"),M$15&gt;Sources!$C$5),4,1)),"")))</x:f>
      </x:c>
      <x:c r="N70" s="35" t="str">
        <x:f>IF(OR($E70="",$F70=""),"",IF($I70="Either date",IF(OR(AND(N$15&lt;=$E70,N$15+6&gt;=$E70),AND(N$15&lt;=$F70,N$15+6&gt;=$F70)),3,""),IF(AND(N$15&lt;=$F70,N$15+6&gt;=$E70),IF($I70="Milestone",IF(AND(OR($D70="Complete",$D70="Submitted"),$F70&gt;Sources!$C$5),"T",2),IF(AND(OR($D70="Complete",$D70="Submitted"),N$15&gt;Sources!$C$5),4,1)),"")))</x:f>
      </x:c>
      <x:c r="O70" s="35" t="str">
        <x:f>IF(OR($E70="",$F70=""),"",IF($I70="Either date",IF(OR(AND(O$15&lt;=$E70,O$15+6&gt;=$E70),AND(O$15&lt;=$F70,O$15+6&gt;=$F70)),3,""),IF(AND(O$15&lt;=$F70,O$15+6&gt;=$E70),IF($I70="Milestone",IF(AND(OR($D70="Complete",$D70="Submitted"),$F70&gt;Sources!$C$5),"T",2),IF(AND(OR($D70="Complete",$D70="Submitted"),O$15&gt;Sources!$C$5),4,1)),"")))</x:f>
      </x:c>
      <x:c r="P70" s="35" t="str">
        <x:f>IF(OR($E70="",$F70=""),"",IF($I70="Either date",IF(OR(AND(P$15&lt;=$E70,P$15+6&gt;=$E70),AND(P$15&lt;=$F70,P$15+6&gt;=$F70)),3,""),IF(AND(P$15&lt;=$F70,P$15+6&gt;=$E70),IF($I70="Milestone",IF(AND(OR($D70="Complete",$D70="Submitted"),$F70&gt;Sources!$C$5),"T",2),IF(AND(OR($D70="Complete",$D70="Submitted"),P$15&gt;Sources!$C$5),4,1)),"")))</x:f>
      </x:c>
      <x:c r="Q70" s="35" t="str">
        <x:f>IF(OR($E70="",$F70=""),"",IF($I70="Either date",IF(OR(AND(Q$15&lt;=$E70,Q$15+6&gt;=$E70),AND(Q$15&lt;=$F70,Q$15+6&gt;=$F70)),3,""),IF(AND(Q$15&lt;=$F70,Q$15+6&gt;=$E70),IF($I70="Milestone",IF(AND(OR($D70="Complete",$D70="Submitted"),$F70&gt;Sources!$C$5),"T",2),IF(AND(OR($D70="Complete",$D70="Submitted"),Q$15&gt;Sources!$C$5),4,1)),"")))</x:f>
      </x:c>
      <x:c r="R70" s="35" t="str">
        <x:f>IF(OR($E70="",$F70=""),"",IF($I70="Either date",IF(OR(AND(R$15&lt;=$E70,R$15+6&gt;=$E70),AND(R$15&lt;=$F70,R$15+6&gt;=$F70)),3,""),IF(AND(R$15&lt;=$F70,R$15+6&gt;=$E70),IF($I70="Milestone",IF(AND(OR($D70="Complete",$D70="Submitted"),$F70&gt;Sources!$C$5),"T",2),IF(AND(OR($D70="Complete",$D70="Submitted"),R$15&gt;Sources!$C$5),4,1)),"")))</x:f>
      </x:c>
      <x:c r="S70" s="35" t="str">
        <x:f>IF(OR($E70="",$F70=""),"",IF($I70="Either date",IF(OR(AND(S$15&lt;=$E70,S$15+6&gt;=$E70),AND(S$15&lt;=$F70,S$15+6&gt;=$F70)),3,""),IF(AND(S$15&lt;=$F70,S$15+6&gt;=$E70),IF($I70="Milestone",IF(AND(OR($D70="Complete",$D70="Submitted"),$F70&gt;Sources!$C$5),"T",2),IF(AND(OR($D70="Complete",$D70="Submitted"),S$15&gt;Sources!$C$5),4,1)),"")))</x:f>
      </x:c>
      <x:c r="T70" s="35" t="str">
        <x:f>IF(OR($E70="",$F70=""),"",IF($I70="Either date",IF(OR(AND(T$15&lt;=$E70,T$15+6&gt;=$E70),AND(T$15&lt;=$F70,T$15+6&gt;=$F70)),3,""),IF(AND(T$15&lt;=$F70,T$15+6&gt;=$E70),IF($I70="Milestone",IF(AND(OR($D70="Complete",$D70="Submitted"),$F70&gt;Sources!$C$5),"T",2),IF(AND(OR($D70="Complete",$D70="Submitted"),T$15&gt;Sources!$C$5),4,1)),"")))</x:f>
      </x:c>
      <x:c r="U70" s="2"/>
      <x:c r="V70" s="2" t="str"/>
      <x:c r="W70" s="18" t="str">
        <x:v>Course log</x:v>
      </x:c>
      <x:c r="X70" s="18" t="str">
        <x:v>Submitted Gantt</x:v>
      </x:c>
    </x:row>
    <x:row r="71" ht="38" customHeight="1">
      <x:c r="A71" s="36" t="str">
        <x:v>L8</x:v>
      </x:c>
      <x:c r="B71" s="37" t="str">
        <x:v>Maintain and submit Week 8 project log</x:v>
      </x:c>
      <x:c r="C71" s="37" t="str">
        <x:v>All four</x:v>
      </x:c>
      <x:c r="D71" s="36" t="str">
        <x:v>Complete</x:v>
      </x:c>
      <x:c r="E71" s="38" t="d">
        <x:v>2026-10-12T00:00:00.000Z</x:v>
      </x:c>
      <x:c r="F71" s="38" t="d">
        <x:v>2026-10-16T00:00:00.000Z</x:v>
      </x:c>
      <x:c r="G71" s="36" t="n">
        <x:f>IF(OR(E71="",F71="",I71="Either date"),"",IF(F71&lt;E71,"Review",F71-E71+1))</x:f>
        <x:v>5</x:v>
      </x:c>
      <x:c r="H71" s="37" t="str"/>
      <x:c r="I71" s="37" t="str">
        <x:v>Window</x:v>
      </x:c>
      <x:c r="J71" s="35" t="str">
        <x:f>IF(OR($E71="",$F71=""),"",IF($I71="Either date",IF(OR(AND(J$15&lt;=$E71,J$15+6&gt;=$E71),AND(J$15&lt;=$F71,J$15+6&gt;=$F71)),3,""),IF(AND(J$15&lt;=$F71,J$15+6&gt;=$E71),IF($I71="Milestone",IF(AND(OR($D71="Complete",$D71="Submitted"),$F71&gt;Sources!$C$5),"T",2),IF(AND(OR($D71="Complete",$D71="Submitted"),J$15&gt;Sources!$C$5),4,1)),"")))</x:f>
      </x:c>
      <x:c r="K71" s="35" t="str">
        <x:f>IF(OR($E71="",$F71=""),"",IF($I71="Either date",IF(OR(AND(K$15&lt;=$E71,K$15+6&gt;=$E71),AND(K$15&lt;=$F71,K$15+6&gt;=$F71)),3,""),IF(AND(K$15&lt;=$F71,K$15+6&gt;=$E71),IF($I71="Milestone",IF(AND(OR($D71="Complete",$D71="Submitted"),$F71&gt;Sources!$C$5),"T",2),IF(AND(OR($D71="Complete",$D71="Submitted"),K$15&gt;Sources!$C$5),4,1)),"")))</x:f>
      </x:c>
      <x:c r="L71" s="35" t="n">
        <x:f>IF(OR($E71="",$F71=""),"",IF($I71="Either date",IF(OR(AND(L$15&lt;=$E71,L$15+6&gt;=$E71),AND(L$15&lt;=$F71,L$15+6&gt;=$F71)),3,""),IF(AND(L$15&lt;=$F71,L$15+6&gt;=$E71),IF($I71="Milestone",IF(AND(OR($D71="Complete",$D71="Submitted"),$F71&gt;Sources!$C$5),"T",2),IF(AND(OR($D71="Complete",$D71="Submitted"),L$15&gt;Sources!$C$5),4,1)),"")))</x:f>
        <x:v>1</x:v>
      </x:c>
      <x:c r="M71" s="35" t="str">
        <x:f>IF(OR($E71="",$F71=""),"",IF($I71="Either date",IF(OR(AND(M$15&lt;=$E71,M$15+6&gt;=$E71),AND(M$15&lt;=$F71,M$15+6&gt;=$F71)),3,""),IF(AND(M$15&lt;=$F71,M$15+6&gt;=$E71),IF($I71="Milestone",IF(AND(OR($D71="Complete",$D71="Submitted"),$F71&gt;Sources!$C$5),"T",2),IF(AND(OR($D71="Complete",$D71="Submitted"),M$15&gt;Sources!$C$5),4,1)),"")))</x:f>
      </x:c>
      <x:c r="N71" s="35" t="str">
        <x:f>IF(OR($E71="",$F71=""),"",IF($I71="Either date",IF(OR(AND(N$15&lt;=$E71,N$15+6&gt;=$E71),AND(N$15&lt;=$F71,N$15+6&gt;=$F71)),3,""),IF(AND(N$15&lt;=$F71,N$15+6&gt;=$E71),IF($I71="Milestone",IF(AND(OR($D71="Complete",$D71="Submitted"),$F71&gt;Sources!$C$5),"T",2),IF(AND(OR($D71="Complete",$D71="Submitted"),N$15&gt;Sources!$C$5),4,1)),"")))</x:f>
      </x:c>
      <x:c r="O71" s="35" t="str">
        <x:f>IF(OR($E71="",$F71=""),"",IF($I71="Either date",IF(OR(AND(O$15&lt;=$E71,O$15+6&gt;=$E71),AND(O$15&lt;=$F71,O$15+6&gt;=$F71)),3,""),IF(AND(O$15&lt;=$F71,O$15+6&gt;=$E71),IF($I71="Milestone",IF(AND(OR($D71="Complete",$D71="Submitted"),$F71&gt;Sources!$C$5),"T",2),IF(AND(OR($D71="Complete",$D71="Submitted"),O$15&gt;Sources!$C$5),4,1)),"")))</x:f>
      </x:c>
      <x:c r="P71" s="35" t="str">
        <x:f>IF(OR($E71="",$F71=""),"",IF($I71="Either date",IF(OR(AND(P$15&lt;=$E71,P$15+6&gt;=$E71),AND(P$15&lt;=$F71,P$15+6&gt;=$F71)),3,""),IF(AND(P$15&lt;=$F71,P$15+6&gt;=$E71),IF($I71="Milestone",IF(AND(OR($D71="Complete",$D71="Submitted"),$F71&gt;Sources!$C$5),"T",2),IF(AND(OR($D71="Complete",$D71="Submitted"),P$15&gt;Sources!$C$5),4,1)),"")))</x:f>
      </x:c>
      <x:c r="Q71" s="35" t="str">
        <x:f>IF(OR($E71="",$F71=""),"",IF($I71="Either date",IF(OR(AND(Q$15&lt;=$E71,Q$15+6&gt;=$E71),AND(Q$15&lt;=$F71,Q$15+6&gt;=$F71)),3,""),IF(AND(Q$15&lt;=$F71,Q$15+6&gt;=$E71),IF($I71="Milestone",IF(AND(OR($D71="Complete",$D71="Submitted"),$F71&gt;Sources!$C$5),"T",2),IF(AND(OR($D71="Complete",$D71="Submitted"),Q$15&gt;Sources!$C$5),4,1)),"")))</x:f>
      </x:c>
      <x:c r="R71" s="35" t="str">
        <x:f>IF(OR($E71="",$F71=""),"",IF($I71="Either date",IF(OR(AND(R$15&lt;=$E71,R$15+6&gt;=$E71),AND(R$15&lt;=$F71,R$15+6&gt;=$F71)),3,""),IF(AND(R$15&lt;=$F71,R$15+6&gt;=$E71),IF($I71="Milestone",IF(AND(OR($D71="Complete",$D71="Submitted"),$F71&gt;Sources!$C$5),"T",2),IF(AND(OR($D71="Complete",$D71="Submitted"),R$15&gt;Sources!$C$5),4,1)),"")))</x:f>
      </x:c>
      <x:c r="S71" s="35" t="str">
        <x:f>IF(OR($E71="",$F71=""),"",IF($I71="Either date",IF(OR(AND(S$15&lt;=$E71,S$15+6&gt;=$E71),AND(S$15&lt;=$F71,S$15+6&gt;=$F71)),3,""),IF(AND(S$15&lt;=$F71,S$15+6&gt;=$E71),IF($I71="Milestone",IF(AND(OR($D71="Complete",$D71="Submitted"),$F71&gt;Sources!$C$5),"T",2),IF(AND(OR($D71="Complete",$D71="Submitted"),S$15&gt;Sources!$C$5),4,1)),"")))</x:f>
      </x:c>
      <x:c r="T71" s="35" t="str">
        <x:f>IF(OR($E71="",$F71=""),"",IF($I71="Either date",IF(OR(AND(T$15&lt;=$E71,T$15+6&gt;=$E71),AND(T$15&lt;=$F71,T$15+6&gt;=$F71)),3,""),IF(AND(T$15&lt;=$F71,T$15+6&gt;=$E71),IF($I71="Milestone",IF(AND(OR($D71="Complete",$D71="Submitted"),$F71&gt;Sources!$C$5),"T",2),IF(AND(OR($D71="Complete",$D71="Submitted"),T$15&gt;Sources!$C$5),4,1)),"")))</x:f>
      </x:c>
      <x:c r="U71" s="2"/>
      <x:c r="V71" s="2" t="str"/>
      <x:c r="W71" s="18" t="str">
        <x:v>Course log</x:v>
      </x:c>
      <x:c r="X71" s="18" t="str">
        <x:v>Submitted Gantt</x:v>
      </x:c>
    </x:row>
    <x:row r="72" ht="38" customHeight="1">
      <x:c r="A72" s="2" t="str">
        <x:v>L9</x:v>
      </x:c>
      <x:c r="B72" s="18" t="str">
        <x:v>Maintain and submit Week 9 project log</x:v>
      </x:c>
      <x:c r="C72" s="18" t="str">
        <x:v>All four</x:v>
      </x:c>
      <x:c r="D72" s="2" t="str">
        <x:v>Prepared</x:v>
      </x:c>
      <x:c r="E72" s="15" t="d">
        <x:v>2026-10-19T00:00:00.000Z</x:v>
      </x:c>
      <x:c r="F72" s="15" t="d">
        <x:v>2026-10-23T00:00:00.000Z</x:v>
      </x:c>
      <x:c r="G72" s="2" t="n">
        <x:f>IF(OR(E72="",F72="",I72="Either date"),"",IF(F72&lt;E72,"Review",F72-E72+1))</x:f>
        <x:v>5</x:v>
      </x:c>
      <x:c r="H72" s="18" t="str"/>
      <x:c r="I72" s="18" t="str">
        <x:v>Window</x:v>
      </x:c>
      <x:c r="J72" s="35" t="str">
        <x:f>IF(OR($E72="",$F72=""),"",IF($I72="Either date",IF(OR(AND(J$15&lt;=$E72,J$15+6&gt;=$E72),AND(J$15&lt;=$F72,J$15+6&gt;=$F72)),3,""),IF(AND(J$15&lt;=$F72,J$15+6&gt;=$E72),IF($I72="Milestone",IF(AND(OR($D72="Complete",$D72="Submitted"),$F72&gt;Sources!$C$5),"T",2),IF(AND(OR($D72="Complete",$D72="Submitted"),J$15&gt;Sources!$C$5),4,1)),"")))</x:f>
      </x:c>
      <x:c r="K72" s="35" t="str">
        <x:f>IF(OR($E72="",$F72=""),"",IF($I72="Either date",IF(OR(AND(K$15&lt;=$E72,K$15+6&gt;=$E72),AND(K$15&lt;=$F72,K$15+6&gt;=$F72)),3,""),IF(AND(K$15&lt;=$F72,K$15+6&gt;=$E72),IF($I72="Milestone",IF(AND(OR($D72="Complete",$D72="Submitted"),$F72&gt;Sources!$C$5),"T",2),IF(AND(OR($D72="Complete",$D72="Submitted"),K$15&gt;Sources!$C$5),4,1)),"")))</x:f>
      </x:c>
      <x:c r="L72" s="35" t="str">
        <x:f>IF(OR($E72="",$F72=""),"",IF($I72="Either date",IF(OR(AND(L$15&lt;=$E72,L$15+6&gt;=$E72),AND(L$15&lt;=$F72,L$15+6&gt;=$F72)),3,""),IF(AND(L$15&lt;=$F72,L$15+6&gt;=$E72),IF($I72="Milestone",IF(AND(OR($D72="Complete",$D72="Submitted"),$F72&gt;Sources!$C$5),"T",2),IF(AND(OR($D72="Complete",$D72="Submitted"),L$15&gt;Sources!$C$5),4,1)),"")))</x:f>
      </x:c>
      <x:c r="M72" s="35" t="n">
        <x:f>IF(OR($E72="",$F72=""),"",IF($I72="Either date",IF(OR(AND(M$15&lt;=$E72,M$15+6&gt;=$E72),AND(M$15&lt;=$F72,M$15+6&gt;=$F72)),3,""),IF(AND(M$15&lt;=$F72,M$15+6&gt;=$E72),IF($I72="Milestone",IF(AND(OR($D72="Complete",$D72="Submitted"),$F72&gt;Sources!$C$5),"T",2),IF(AND(OR($D72="Complete",$D72="Submitted"),M$15&gt;Sources!$C$5),4,1)),"")))</x:f>
        <x:v>1</x:v>
      </x:c>
      <x:c r="N72" s="35" t="str">
        <x:f>IF(OR($E72="",$F72=""),"",IF($I72="Either date",IF(OR(AND(N$15&lt;=$E72,N$15+6&gt;=$E72),AND(N$15&lt;=$F72,N$15+6&gt;=$F72)),3,""),IF(AND(N$15&lt;=$F72,N$15+6&gt;=$E72),IF($I72="Milestone",IF(AND(OR($D72="Complete",$D72="Submitted"),$F72&gt;Sources!$C$5),"T",2),IF(AND(OR($D72="Complete",$D72="Submitted"),N$15&gt;Sources!$C$5),4,1)),"")))</x:f>
      </x:c>
      <x:c r="O72" s="35" t="str">
        <x:f>IF(OR($E72="",$F72=""),"",IF($I72="Either date",IF(OR(AND(O$15&lt;=$E72,O$15+6&gt;=$E72),AND(O$15&lt;=$F72,O$15+6&gt;=$F72)),3,""),IF(AND(O$15&lt;=$F72,O$15+6&gt;=$E72),IF($I72="Milestone",IF(AND(OR($D72="Complete",$D72="Submitted"),$F72&gt;Sources!$C$5),"T",2),IF(AND(OR($D72="Complete",$D72="Submitted"),O$15&gt;Sources!$C$5),4,1)),"")))</x:f>
      </x:c>
      <x:c r="P72" s="35" t="str">
        <x:f>IF(OR($E72="",$F72=""),"",IF($I72="Either date",IF(OR(AND(P$15&lt;=$E72,P$15+6&gt;=$E72),AND(P$15&lt;=$F72,P$15+6&gt;=$F72)),3,""),IF(AND(P$15&lt;=$F72,P$15+6&gt;=$E72),IF($I72="Milestone",IF(AND(OR($D72="Complete",$D72="Submitted"),$F72&gt;Sources!$C$5),"T",2),IF(AND(OR($D72="Complete",$D72="Submitted"),P$15&gt;Sources!$C$5),4,1)),"")))</x:f>
      </x:c>
      <x:c r="Q72" s="35" t="str">
        <x:f>IF(OR($E72="",$F72=""),"",IF($I72="Either date",IF(OR(AND(Q$15&lt;=$E72,Q$15+6&gt;=$E72),AND(Q$15&lt;=$F72,Q$15+6&gt;=$F72)),3,""),IF(AND(Q$15&lt;=$F72,Q$15+6&gt;=$E72),IF($I72="Milestone",IF(AND(OR($D72="Complete",$D72="Submitted"),$F72&gt;Sources!$C$5),"T",2),IF(AND(OR($D72="Complete",$D72="Submitted"),Q$15&gt;Sources!$C$5),4,1)),"")))</x:f>
      </x:c>
      <x:c r="R72" s="35" t="str">
        <x:f>IF(OR($E72="",$F72=""),"",IF($I72="Either date",IF(OR(AND(R$15&lt;=$E72,R$15+6&gt;=$E72),AND(R$15&lt;=$F72,R$15+6&gt;=$F72)),3,""),IF(AND(R$15&lt;=$F72,R$15+6&gt;=$E72),IF($I72="Milestone",IF(AND(OR($D72="Complete",$D72="Submitted"),$F72&gt;Sources!$C$5),"T",2),IF(AND(OR($D72="Complete",$D72="Submitted"),R$15&gt;Sources!$C$5),4,1)),"")))</x:f>
      </x:c>
      <x:c r="S72" s="35" t="str">
        <x:f>IF(OR($E72="",$F72=""),"",IF($I72="Either date",IF(OR(AND(S$15&lt;=$E72,S$15+6&gt;=$E72),AND(S$15&lt;=$F72,S$15+6&gt;=$F72)),3,""),IF(AND(S$15&lt;=$F72,S$15+6&gt;=$E72),IF($I72="Milestone",IF(AND(OR($D72="Complete",$D72="Submitted"),$F72&gt;Sources!$C$5),"T",2),IF(AND(OR($D72="Complete",$D72="Submitted"),S$15&gt;Sources!$C$5),4,1)),"")))</x:f>
      </x:c>
      <x:c r="T72" s="35" t="str">
        <x:f>IF(OR($E72="",$F72=""),"",IF($I72="Either date",IF(OR(AND(T$15&lt;=$E72,T$15+6&gt;=$E72),AND(T$15&lt;=$F72,T$15+6&gt;=$F72)),3,""),IF(AND(T$15&lt;=$F72,T$15+6&gt;=$E72),IF($I72="Milestone",IF(AND(OR($D72="Complete",$D72="Submitted"),$F72&gt;Sources!$C$5),"T",2),IF(AND(OR($D72="Complete",$D72="Submitted"),T$15&gt;Sources!$C$5),4,1)),"")))</x:f>
      </x:c>
      <x:c r="U72" s="2"/>
      <x:c r="V72" s="2" t="str"/>
      <x:c r="W72" s="18" t="str">
        <x:v>Course log</x:v>
      </x:c>
      <x:c r="X72" s="18" t="str">
        <x:v>Submitted Gantt</x:v>
      </x:c>
    </x:row>
    <x:row r="73" ht="38" customHeight="1">
      <x:c r="A73" s="36" t="str">
        <x:v>L10</x:v>
      </x:c>
      <x:c r="B73" s="37" t="str">
        <x:v>Maintain and submit Week 10 project log</x:v>
      </x:c>
      <x:c r="C73" s="37" t="str">
        <x:v>All four</x:v>
      </x:c>
      <x:c r="D73" s="36" t="str">
        <x:v>Planned</x:v>
      </x:c>
      <x:c r="E73" s="38" t="d">
        <x:v>2026-10-26T00:00:00.000Z</x:v>
      </x:c>
      <x:c r="F73" s="38" t="d">
        <x:v>2026-10-30T00:00:00.000Z</x:v>
      </x:c>
      <x:c r="G73" s="36" t="n">
        <x:f>IF(OR(E73="",F73="",I73="Either date"),"",IF(F73&lt;E73,"Review",F73-E73+1))</x:f>
        <x:v>5</x:v>
      </x:c>
      <x:c r="H73" s="37" t="str"/>
      <x:c r="I73" s="37" t="str">
        <x:v>Window</x:v>
      </x:c>
      <x:c r="J73" s="35" t="str">
        <x:f>IF(OR($E73="",$F73=""),"",IF($I73="Either date",IF(OR(AND(J$15&lt;=$E73,J$15+6&gt;=$E73),AND(J$15&lt;=$F73,J$15+6&gt;=$F73)),3,""),IF(AND(J$15&lt;=$F73,J$15+6&gt;=$E73),IF($I73="Milestone",IF(AND(OR($D73="Complete",$D73="Submitted"),$F73&gt;Sources!$C$5),"T",2),IF(AND(OR($D73="Complete",$D73="Submitted"),J$15&gt;Sources!$C$5),4,1)),"")))</x:f>
      </x:c>
      <x:c r="K73" s="35" t="str">
        <x:f>IF(OR($E73="",$F73=""),"",IF($I73="Either date",IF(OR(AND(K$15&lt;=$E73,K$15+6&gt;=$E73),AND(K$15&lt;=$F73,K$15+6&gt;=$F73)),3,""),IF(AND(K$15&lt;=$F73,K$15+6&gt;=$E73),IF($I73="Milestone",IF(AND(OR($D73="Complete",$D73="Submitted"),$F73&gt;Sources!$C$5),"T",2),IF(AND(OR($D73="Complete",$D73="Submitted"),K$15&gt;Sources!$C$5),4,1)),"")))</x:f>
      </x:c>
      <x:c r="L73" s="35" t="str">
        <x:f>IF(OR($E73="",$F73=""),"",IF($I73="Either date",IF(OR(AND(L$15&lt;=$E73,L$15+6&gt;=$E73),AND(L$15&lt;=$F73,L$15+6&gt;=$F73)),3,""),IF(AND(L$15&lt;=$F73,L$15+6&gt;=$E73),IF($I73="Milestone",IF(AND(OR($D73="Complete",$D73="Submitted"),$F73&gt;Sources!$C$5),"T",2),IF(AND(OR($D73="Complete",$D73="Submitted"),L$15&gt;Sources!$C$5),4,1)),"")))</x:f>
      </x:c>
      <x:c r="M73" s="35" t="str">
        <x:f>IF(OR($E73="",$F73=""),"",IF($I73="Either date",IF(OR(AND(M$15&lt;=$E73,M$15+6&gt;=$E73),AND(M$15&lt;=$F73,M$15+6&gt;=$F73)),3,""),IF(AND(M$15&lt;=$F73,M$15+6&gt;=$E73),IF($I73="Milestone",IF(AND(OR($D73="Complete",$D73="Submitted"),$F73&gt;Sources!$C$5),"T",2),IF(AND(OR($D73="Complete",$D73="Submitted"),M$15&gt;Sources!$C$5),4,1)),"")))</x:f>
      </x:c>
      <x:c r="N73" s="35" t="n">
        <x:f>IF(OR($E73="",$F73=""),"",IF($I73="Either date",IF(OR(AND(N$15&lt;=$E73,N$15+6&gt;=$E73),AND(N$15&lt;=$F73,N$15+6&gt;=$F73)),3,""),IF(AND(N$15&lt;=$F73,N$15+6&gt;=$E73),IF($I73="Milestone",IF(AND(OR($D73="Complete",$D73="Submitted"),$F73&gt;Sources!$C$5),"T",2),IF(AND(OR($D73="Complete",$D73="Submitted"),N$15&gt;Sources!$C$5),4,1)),"")))</x:f>
        <x:v>1</x:v>
      </x:c>
      <x:c r="O73" s="35" t="str">
        <x:f>IF(OR($E73="",$F73=""),"",IF($I73="Either date",IF(OR(AND(O$15&lt;=$E73,O$15+6&gt;=$E73),AND(O$15&lt;=$F73,O$15+6&gt;=$F73)),3,""),IF(AND(O$15&lt;=$F73,O$15+6&gt;=$E73),IF($I73="Milestone",IF(AND(OR($D73="Complete",$D73="Submitted"),$F73&gt;Sources!$C$5),"T",2),IF(AND(OR($D73="Complete",$D73="Submitted"),O$15&gt;Sources!$C$5),4,1)),"")))</x:f>
      </x:c>
      <x:c r="P73" s="35" t="str">
        <x:f>IF(OR($E73="",$F73=""),"",IF($I73="Either date",IF(OR(AND(P$15&lt;=$E73,P$15+6&gt;=$E73),AND(P$15&lt;=$F73,P$15+6&gt;=$F73)),3,""),IF(AND(P$15&lt;=$F73,P$15+6&gt;=$E73),IF($I73="Milestone",IF(AND(OR($D73="Complete",$D73="Submitted"),$F73&gt;Sources!$C$5),"T",2),IF(AND(OR($D73="Complete",$D73="Submitted"),P$15&gt;Sources!$C$5),4,1)),"")))</x:f>
      </x:c>
      <x:c r="Q73" s="35" t="str">
        <x:f>IF(OR($E73="",$F73=""),"",IF($I73="Either date",IF(OR(AND(Q$15&lt;=$E73,Q$15+6&gt;=$E73),AND(Q$15&lt;=$F73,Q$15+6&gt;=$F73)),3,""),IF(AND(Q$15&lt;=$F73,Q$15+6&gt;=$E73),IF($I73="Milestone",IF(AND(OR($D73="Complete",$D73="Submitted"),$F73&gt;Sources!$C$5),"T",2),IF(AND(OR($D73="Complete",$D73="Submitted"),Q$15&gt;Sources!$C$5),4,1)),"")))</x:f>
      </x:c>
      <x:c r="R73" s="35" t="str">
        <x:f>IF(OR($E73="",$F73=""),"",IF($I73="Either date",IF(OR(AND(R$15&lt;=$E73,R$15+6&gt;=$E73),AND(R$15&lt;=$F73,R$15+6&gt;=$F73)),3,""),IF(AND(R$15&lt;=$F73,R$15+6&gt;=$E73),IF($I73="Milestone",IF(AND(OR($D73="Complete",$D73="Submitted"),$F73&gt;Sources!$C$5),"T",2),IF(AND(OR($D73="Complete",$D73="Submitted"),R$15&gt;Sources!$C$5),4,1)),"")))</x:f>
      </x:c>
      <x:c r="S73" s="35" t="str">
        <x:f>IF(OR($E73="",$F73=""),"",IF($I73="Either date",IF(OR(AND(S$15&lt;=$E73,S$15+6&gt;=$E73),AND(S$15&lt;=$F73,S$15+6&gt;=$F73)),3,""),IF(AND(S$15&lt;=$F73,S$15+6&gt;=$E73),IF($I73="Milestone",IF(AND(OR($D73="Complete",$D73="Submitted"),$F73&gt;Sources!$C$5),"T",2),IF(AND(OR($D73="Complete",$D73="Submitted"),S$15&gt;Sources!$C$5),4,1)),"")))</x:f>
      </x:c>
      <x:c r="T73" s="35" t="str">
        <x:f>IF(OR($E73="",$F73=""),"",IF($I73="Either date",IF(OR(AND(T$15&lt;=$E73,T$15+6&gt;=$E73),AND(T$15&lt;=$F73,T$15+6&gt;=$F73)),3,""),IF(AND(T$15&lt;=$F73,T$15+6&gt;=$E73),IF($I73="Milestone",IF(AND(OR($D73="Complete",$D73="Submitted"),$F73&gt;Sources!$C$5),"T",2),IF(AND(OR($D73="Complete",$D73="Submitted"),T$15&gt;Sources!$C$5),4,1)),"")))</x:f>
      </x:c>
      <x:c r="U73" s="2"/>
      <x:c r="V73" s="2" t="str"/>
      <x:c r="W73" s="18" t="str">
        <x:v>Course log</x:v>
      </x:c>
      <x:c r="X73" s="18" t="str">
        <x:v>Submitted Gantt</x:v>
      </x:c>
    </x:row>
    <x:row r="74" ht="38" customHeight="1">
      <x:c r="A74" s="2" t="str">
        <x:v>L11</x:v>
      </x:c>
      <x:c r="B74" s="18" t="str">
        <x:v>Maintain and submit Week 11 project log</x:v>
      </x:c>
      <x:c r="C74" s="18" t="str">
        <x:v>All four</x:v>
      </x:c>
      <x:c r="D74" s="2" t="str">
        <x:v>Planned</x:v>
      </x:c>
      <x:c r="E74" s="15" t="d">
        <x:v>2026-11-02T00:00:00.000Z</x:v>
      </x:c>
      <x:c r="F74" s="15" t="d">
        <x:v>2026-11-06T00:00:00.000Z</x:v>
      </x:c>
      <x:c r="G74" s="2" t="n">
        <x:f>IF(OR(E74="",F74="",I74="Either date"),"",IF(F74&lt;E74,"Review",F74-E74+1))</x:f>
        <x:v>5</x:v>
      </x:c>
      <x:c r="H74" s="18" t="str"/>
      <x:c r="I74" s="18" t="str">
        <x:v>Window</x:v>
      </x:c>
      <x:c r="J74" s="35" t="str">
        <x:f>IF(OR($E74="",$F74=""),"",IF($I74="Either date",IF(OR(AND(J$15&lt;=$E74,J$15+6&gt;=$E74),AND(J$15&lt;=$F74,J$15+6&gt;=$F74)),3,""),IF(AND(J$15&lt;=$F74,J$15+6&gt;=$E74),IF($I74="Milestone",IF(AND(OR($D74="Complete",$D74="Submitted"),$F74&gt;Sources!$C$5),"T",2),IF(AND(OR($D74="Complete",$D74="Submitted"),J$15&gt;Sources!$C$5),4,1)),"")))</x:f>
      </x:c>
      <x:c r="K74" s="35" t="str">
        <x:f>IF(OR($E74="",$F74=""),"",IF($I74="Either date",IF(OR(AND(K$15&lt;=$E74,K$15+6&gt;=$E74),AND(K$15&lt;=$F74,K$15+6&gt;=$F74)),3,""),IF(AND(K$15&lt;=$F74,K$15+6&gt;=$E74),IF($I74="Milestone",IF(AND(OR($D74="Complete",$D74="Submitted"),$F74&gt;Sources!$C$5),"T",2),IF(AND(OR($D74="Complete",$D74="Submitted"),K$15&gt;Sources!$C$5),4,1)),"")))</x:f>
      </x:c>
      <x:c r="L74" s="35" t="str">
        <x:f>IF(OR($E74="",$F74=""),"",IF($I74="Either date",IF(OR(AND(L$15&lt;=$E74,L$15+6&gt;=$E74),AND(L$15&lt;=$F74,L$15+6&gt;=$F74)),3,""),IF(AND(L$15&lt;=$F74,L$15+6&gt;=$E74),IF($I74="Milestone",IF(AND(OR($D74="Complete",$D74="Submitted"),$F74&gt;Sources!$C$5),"T",2),IF(AND(OR($D74="Complete",$D74="Submitted"),L$15&gt;Sources!$C$5),4,1)),"")))</x:f>
      </x:c>
      <x:c r="M74" s="35" t="str">
        <x:f>IF(OR($E74="",$F74=""),"",IF($I74="Either date",IF(OR(AND(M$15&lt;=$E74,M$15+6&gt;=$E74),AND(M$15&lt;=$F74,M$15+6&gt;=$F74)),3,""),IF(AND(M$15&lt;=$F74,M$15+6&gt;=$E74),IF($I74="Milestone",IF(AND(OR($D74="Complete",$D74="Submitted"),$F74&gt;Sources!$C$5),"T",2),IF(AND(OR($D74="Complete",$D74="Submitted"),M$15&gt;Sources!$C$5),4,1)),"")))</x:f>
      </x:c>
      <x:c r="N74" s="35" t="str">
        <x:f>IF(OR($E74="",$F74=""),"",IF($I74="Either date",IF(OR(AND(N$15&lt;=$E74,N$15+6&gt;=$E74),AND(N$15&lt;=$F74,N$15+6&gt;=$F74)),3,""),IF(AND(N$15&lt;=$F74,N$15+6&gt;=$E74),IF($I74="Milestone",IF(AND(OR($D74="Complete",$D74="Submitted"),$F74&gt;Sources!$C$5),"T",2),IF(AND(OR($D74="Complete",$D74="Submitted"),N$15&gt;Sources!$C$5),4,1)),"")))</x:f>
      </x:c>
      <x:c r="O74" s="35" t="n">
        <x:f>IF(OR($E74="",$F74=""),"",IF($I74="Either date",IF(OR(AND(O$15&lt;=$E74,O$15+6&gt;=$E74),AND(O$15&lt;=$F74,O$15+6&gt;=$F74)),3,""),IF(AND(O$15&lt;=$F74,O$15+6&gt;=$E74),IF($I74="Milestone",IF(AND(OR($D74="Complete",$D74="Submitted"),$F74&gt;Sources!$C$5),"T",2),IF(AND(OR($D74="Complete",$D74="Submitted"),O$15&gt;Sources!$C$5),4,1)),"")))</x:f>
        <x:v>1</x:v>
      </x:c>
      <x:c r="P74" s="35" t="str">
        <x:f>IF(OR($E74="",$F74=""),"",IF($I74="Either date",IF(OR(AND(P$15&lt;=$E74,P$15+6&gt;=$E74),AND(P$15&lt;=$F74,P$15+6&gt;=$F74)),3,""),IF(AND(P$15&lt;=$F74,P$15+6&gt;=$E74),IF($I74="Milestone",IF(AND(OR($D74="Complete",$D74="Submitted"),$F74&gt;Sources!$C$5),"T",2),IF(AND(OR($D74="Complete",$D74="Submitted"),P$15&gt;Sources!$C$5),4,1)),"")))</x:f>
      </x:c>
      <x:c r="Q74" s="35" t="str">
        <x:f>IF(OR($E74="",$F74=""),"",IF($I74="Either date",IF(OR(AND(Q$15&lt;=$E74,Q$15+6&gt;=$E74),AND(Q$15&lt;=$F74,Q$15+6&gt;=$F74)),3,""),IF(AND(Q$15&lt;=$F74,Q$15+6&gt;=$E74),IF($I74="Milestone",IF(AND(OR($D74="Complete",$D74="Submitted"),$F74&gt;Sources!$C$5),"T",2),IF(AND(OR($D74="Complete",$D74="Submitted"),Q$15&gt;Sources!$C$5),4,1)),"")))</x:f>
      </x:c>
      <x:c r="R74" s="35" t="str">
        <x:f>IF(OR($E74="",$F74=""),"",IF($I74="Either date",IF(OR(AND(R$15&lt;=$E74,R$15+6&gt;=$E74),AND(R$15&lt;=$F74,R$15+6&gt;=$F74)),3,""),IF(AND(R$15&lt;=$F74,R$15+6&gt;=$E74),IF($I74="Milestone",IF(AND(OR($D74="Complete",$D74="Submitted"),$F74&gt;Sources!$C$5),"T",2),IF(AND(OR($D74="Complete",$D74="Submitted"),R$15&gt;Sources!$C$5),4,1)),"")))</x:f>
      </x:c>
      <x:c r="S74" s="35" t="str">
        <x:f>IF(OR($E74="",$F74=""),"",IF($I74="Either date",IF(OR(AND(S$15&lt;=$E74,S$15+6&gt;=$E74),AND(S$15&lt;=$F74,S$15+6&gt;=$F74)),3,""),IF(AND(S$15&lt;=$F74,S$15+6&gt;=$E74),IF($I74="Milestone",IF(AND(OR($D74="Complete",$D74="Submitted"),$F74&gt;Sources!$C$5),"T",2),IF(AND(OR($D74="Complete",$D74="Submitted"),S$15&gt;Sources!$C$5),4,1)),"")))</x:f>
      </x:c>
      <x:c r="T74" s="35" t="str">
        <x:f>IF(OR($E74="",$F74=""),"",IF($I74="Either date",IF(OR(AND(T$15&lt;=$E74,T$15+6&gt;=$E74),AND(T$15&lt;=$F74,T$15+6&gt;=$F74)),3,""),IF(AND(T$15&lt;=$F74,T$15+6&gt;=$E74),IF($I74="Milestone",IF(AND(OR($D74="Complete",$D74="Submitted"),$F74&gt;Sources!$C$5),"T",2),IF(AND(OR($D74="Complete",$D74="Submitted"),T$15&gt;Sources!$C$5),4,1)),"")))</x:f>
      </x:c>
      <x:c r="U74" s="2"/>
      <x:c r="V74" s="2" t="str"/>
      <x:c r="W74" s="18" t="str">
        <x:v>Course log</x:v>
      </x:c>
      <x:c r="X74" s="18" t="str">
        <x:v>Submitted Gantt</x:v>
      </x:c>
    </x:row>
    <x:row r="75" ht="38" customHeight="1">
      <x:c r="A75" s="36" t="str">
        <x:v>L12</x:v>
      </x:c>
      <x:c r="B75" s="37" t="str">
        <x:v>Maintain and submit Week 12 project log</x:v>
      </x:c>
      <x:c r="C75" s="37" t="str">
        <x:v>All four</x:v>
      </x:c>
      <x:c r="D75" s="36" t="str">
        <x:v>Planned</x:v>
      </x:c>
      <x:c r="E75" s="38" t="d">
        <x:v>2026-11-09T00:00:00.000Z</x:v>
      </x:c>
      <x:c r="F75" s="38" t="d">
        <x:v>2026-11-13T00:00:00.000Z</x:v>
      </x:c>
      <x:c r="G75" s="36" t="n">
        <x:f>IF(OR(E75="",F75="",I75="Either date"),"",IF(F75&lt;E75,"Review",F75-E75+1))</x:f>
        <x:v>5</x:v>
      </x:c>
      <x:c r="H75" s="37" t="str"/>
      <x:c r="I75" s="37" t="str">
        <x:v>Window</x:v>
      </x:c>
      <x:c r="J75" s="35" t="str">
        <x:f>IF(OR($E75="",$F75=""),"",IF($I75="Either date",IF(OR(AND(J$15&lt;=$E75,J$15+6&gt;=$E75),AND(J$15&lt;=$F75,J$15+6&gt;=$F75)),3,""),IF(AND(J$15&lt;=$F75,J$15+6&gt;=$E75),IF($I75="Milestone",IF(AND(OR($D75="Complete",$D75="Submitted"),$F75&gt;Sources!$C$5),"T",2),IF(AND(OR($D75="Complete",$D75="Submitted"),J$15&gt;Sources!$C$5),4,1)),"")))</x:f>
      </x:c>
      <x:c r="K75" s="35" t="str">
        <x:f>IF(OR($E75="",$F75=""),"",IF($I75="Either date",IF(OR(AND(K$15&lt;=$E75,K$15+6&gt;=$E75),AND(K$15&lt;=$F75,K$15+6&gt;=$F75)),3,""),IF(AND(K$15&lt;=$F75,K$15+6&gt;=$E75),IF($I75="Milestone",IF(AND(OR($D75="Complete",$D75="Submitted"),$F75&gt;Sources!$C$5),"T",2),IF(AND(OR($D75="Complete",$D75="Submitted"),K$15&gt;Sources!$C$5),4,1)),"")))</x:f>
      </x:c>
      <x:c r="L75" s="35" t="str">
        <x:f>IF(OR($E75="",$F75=""),"",IF($I75="Either date",IF(OR(AND(L$15&lt;=$E75,L$15+6&gt;=$E75),AND(L$15&lt;=$F75,L$15+6&gt;=$F75)),3,""),IF(AND(L$15&lt;=$F75,L$15+6&gt;=$E75),IF($I75="Milestone",IF(AND(OR($D75="Complete",$D75="Submitted"),$F75&gt;Sources!$C$5),"T",2),IF(AND(OR($D75="Complete",$D75="Submitted"),L$15&gt;Sources!$C$5),4,1)),"")))</x:f>
      </x:c>
      <x:c r="M75" s="35" t="str">
        <x:f>IF(OR($E75="",$F75=""),"",IF($I75="Either date",IF(OR(AND(M$15&lt;=$E75,M$15+6&gt;=$E75),AND(M$15&lt;=$F75,M$15+6&gt;=$F75)),3,""),IF(AND(M$15&lt;=$F75,M$15+6&gt;=$E75),IF($I75="Milestone",IF(AND(OR($D75="Complete",$D75="Submitted"),$F75&gt;Sources!$C$5),"T",2),IF(AND(OR($D75="Complete",$D75="Submitted"),M$15&gt;Sources!$C$5),4,1)),"")))</x:f>
      </x:c>
      <x:c r="N75" s="35" t="str">
        <x:f>IF(OR($E75="",$F75=""),"",IF($I75="Either date",IF(OR(AND(N$15&lt;=$E75,N$15+6&gt;=$E75),AND(N$15&lt;=$F75,N$15+6&gt;=$F75)),3,""),IF(AND(N$15&lt;=$F75,N$15+6&gt;=$E75),IF($I75="Milestone",IF(AND(OR($D75="Complete",$D75="Submitted"),$F75&gt;Sources!$C$5),"T",2),IF(AND(OR($D75="Complete",$D75="Submitted"),N$15&gt;Sources!$C$5),4,1)),"")))</x:f>
      </x:c>
      <x:c r="O75" s="35" t="str">
        <x:f>IF(OR($E75="",$F75=""),"",IF($I75="Either date",IF(OR(AND(O$15&lt;=$E75,O$15+6&gt;=$E75),AND(O$15&lt;=$F75,O$15+6&gt;=$F75)),3,""),IF(AND(O$15&lt;=$F75,O$15+6&gt;=$E75),IF($I75="Milestone",IF(AND(OR($D75="Complete",$D75="Submitted"),$F75&gt;Sources!$C$5),"T",2),IF(AND(OR($D75="Complete",$D75="Submitted"),O$15&gt;Sources!$C$5),4,1)),"")))</x:f>
      </x:c>
      <x:c r="P75" s="35" t="n">
        <x:f>IF(OR($E75="",$F75=""),"",IF($I75="Either date",IF(OR(AND(P$15&lt;=$E75,P$15+6&gt;=$E75),AND(P$15&lt;=$F75,P$15+6&gt;=$F75)),3,""),IF(AND(P$15&lt;=$F75,P$15+6&gt;=$E75),IF($I75="Milestone",IF(AND(OR($D75="Complete",$D75="Submitted"),$F75&gt;Sources!$C$5),"T",2),IF(AND(OR($D75="Complete",$D75="Submitted"),P$15&gt;Sources!$C$5),4,1)),"")))</x:f>
        <x:v>1</x:v>
      </x:c>
      <x:c r="Q75" s="35" t="str">
        <x:f>IF(OR($E75="",$F75=""),"",IF($I75="Either date",IF(OR(AND(Q$15&lt;=$E75,Q$15+6&gt;=$E75),AND(Q$15&lt;=$F75,Q$15+6&gt;=$F75)),3,""),IF(AND(Q$15&lt;=$F75,Q$15+6&gt;=$E75),IF($I75="Milestone",IF(AND(OR($D75="Complete",$D75="Submitted"),$F75&gt;Sources!$C$5),"T",2),IF(AND(OR($D75="Complete",$D75="Submitted"),Q$15&gt;Sources!$C$5),4,1)),"")))</x:f>
      </x:c>
      <x:c r="R75" s="35" t="str">
        <x:f>IF(OR($E75="",$F75=""),"",IF($I75="Either date",IF(OR(AND(R$15&lt;=$E75,R$15+6&gt;=$E75),AND(R$15&lt;=$F75,R$15+6&gt;=$F75)),3,""),IF(AND(R$15&lt;=$F75,R$15+6&gt;=$E75),IF($I75="Milestone",IF(AND(OR($D75="Complete",$D75="Submitted"),$F75&gt;Sources!$C$5),"T",2),IF(AND(OR($D75="Complete",$D75="Submitted"),R$15&gt;Sources!$C$5),4,1)),"")))</x:f>
      </x:c>
      <x:c r="S75" s="35" t="str">
        <x:f>IF(OR($E75="",$F75=""),"",IF($I75="Either date",IF(OR(AND(S$15&lt;=$E75,S$15+6&gt;=$E75),AND(S$15&lt;=$F75,S$15+6&gt;=$F75)),3,""),IF(AND(S$15&lt;=$F75,S$15+6&gt;=$E75),IF($I75="Milestone",IF(AND(OR($D75="Complete",$D75="Submitted"),$F75&gt;Sources!$C$5),"T",2),IF(AND(OR($D75="Complete",$D75="Submitted"),S$15&gt;Sources!$C$5),4,1)),"")))</x:f>
      </x:c>
      <x:c r="T75" s="35" t="str">
        <x:f>IF(OR($E75="",$F75=""),"",IF($I75="Either date",IF(OR(AND(T$15&lt;=$E75,T$15+6&gt;=$E75),AND(T$15&lt;=$F75,T$15+6&gt;=$F75)),3,""),IF(AND(T$15&lt;=$F75,T$15+6&gt;=$E75),IF($I75="Milestone",IF(AND(OR($D75="Complete",$D75="Submitted"),$F75&gt;Sources!$C$5),"T",2),IF(AND(OR($D75="Complete",$D75="Submitted"),T$15&gt;Sources!$C$5),4,1)),"")))</x:f>
      </x:c>
      <x:c r="U75" s="2"/>
      <x:c r="V75" s="2" t="str"/>
      <x:c r="W75" s="18" t="str">
        <x:v>Course log</x:v>
      </x:c>
      <x:c r="X75" s="18" t="str">
        <x:v>Submitted Gantt</x:v>
      </x:c>
    </x:row>
    <x:row r="76" ht="38" customHeight="1">
      <x:c r="A76" s="2" t="str">
        <x:v>L13</x:v>
      </x:c>
      <x:c r="B76" s="18" t="str">
        <x:v>Maintain and submit Week 13 project log</x:v>
      </x:c>
      <x:c r="C76" s="18" t="str">
        <x:v>All four</x:v>
      </x:c>
      <x:c r="D76" s="2" t="str">
        <x:v>Planned</x:v>
      </x:c>
      <x:c r="E76" s="15" t="d">
        <x:v>2026-11-16T00:00:00.000Z</x:v>
      </x:c>
      <x:c r="F76" s="15" t="d">
        <x:v>2026-11-20T00:00:00.000Z</x:v>
      </x:c>
      <x:c r="G76" s="2" t="n">
        <x:f>IF(OR(E76="",F76="",I76="Either date"),"",IF(F76&lt;E76,"Review",F76-E76+1))</x:f>
        <x:v>5</x:v>
      </x:c>
      <x:c r="H76" s="18" t="str"/>
      <x:c r="I76" s="18" t="str">
        <x:v>Window</x:v>
      </x:c>
      <x:c r="J76" s="35" t="str">
        <x:f>IF(OR($E76="",$F76=""),"",IF($I76="Either date",IF(OR(AND(J$15&lt;=$E76,J$15+6&gt;=$E76),AND(J$15&lt;=$F76,J$15+6&gt;=$F76)),3,""),IF(AND(J$15&lt;=$F76,J$15+6&gt;=$E76),IF($I76="Milestone",IF(AND(OR($D76="Complete",$D76="Submitted"),$F76&gt;Sources!$C$5),"T",2),IF(AND(OR($D76="Complete",$D76="Submitted"),J$15&gt;Sources!$C$5),4,1)),"")))</x:f>
      </x:c>
      <x:c r="K76" s="35" t="str">
        <x:f>IF(OR($E76="",$F76=""),"",IF($I76="Either date",IF(OR(AND(K$15&lt;=$E76,K$15+6&gt;=$E76),AND(K$15&lt;=$F76,K$15+6&gt;=$F76)),3,""),IF(AND(K$15&lt;=$F76,K$15+6&gt;=$E76),IF($I76="Milestone",IF(AND(OR($D76="Complete",$D76="Submitted"),$F76&gt;Sources!$C$5),"T",2),IF(AND(OR($D76="Complete",$D76="Submitted"),K$15&gt;Sources!$C$5),4,1)),"")))</x:f>
      </x:c>
      <x:c r="L76" s="35" t="str">
        <x:f>IF(OR($E76="",$F76=""),"",IF($I76="Either date",IF(OR(AND(L$15&lt;=$E76,L$15+6&gt;=$E76),AND(L$15&lt;=$F76,L$15+6&gt;=$F76)),3,""),IF(AND(L$15&lt;=$F76,L$15+6&gt;=$E76),IF($I76="Milestone",IF(AND(OR($D76="Complete",$D76="Submitted"),$F76&gt;Sources!$C$5),"T",2),IF(AND(OR($D76="Complete",$D76="Submitted"),L$15&gt;Sources!$C$5),4,1)),"")))</x:f>
      </x:c>
      <x:c r="M76" s="35" t="str">
        <x:f>IF(OR($E76="",$F76=""),"",IF($I76="Either date",IF(OR(AND(M$15&lt;=$E76,M$15+6&gt;=$E76),AND(M$15&lt;=$F76,M$15+6&gt;=$F76)),3,""),IF(AND(M$15&lt;=$F76,M$15+6&gt;=$E76),IF($I76="Milestone",IF(AND(OR($D76="Complete",$D76="Submitted"),$F76&gt;Sources!$C$5),"T",2),IF(AND(OR($D76="Complete",$D76="Submitted"),M$15&gt;Sources!$C$5),4,1)),"")))</x:f>
      </x:c>
      <x:c r="N76" s="35" t="str">
        <x:f>IF(OR($E76="",$F76=""),"",IF($I76="Either date",IF(OR(AND(N$15&lt;=$E76,N$15+6&gt;=$E76),AND(N$15&lt;=$F76,N$15+6&gt;=$F76)),3,""),IF(AND(N$15&lt;=$F76,N$15+6&gt;=$E76),IF($I76="Milestone",IF(AND(OR($D76="Complete",$D76="Submitted"),$F76&gt;Sources!$C$5),"T",2),IF(AND(OR($D76="Complete",$D76="Submitted"),N$15&gt;Sources!$C$5),4,1)),"")))</x:f>
      </x:c>
      <x:c r="O76" s="35" t="str">
        <x:f>IF(OR($E76="",$F76=""),"",IF($I76="Either date",IF(OR(AND(O$15&lt;=$E76,O$15+6&gt;=$E76),AND(O$15&lt;=$F76,O$15+6&gt;=$F76)),3,""),IF(AND(O$15&lt;=$F76,O$15+6&gt;=$E76),IF($I76="Milestone",IF(AND(OR($D76="Complete",$D76="Submitted"),$F76&gt;Sources!$C$5),"T",2),IF(AND(OR($D76="Complete",$D76="Submitted"),O$15&gt;Sources!$C$5),4,1)),"")))</x:f>
      </x:c>
      <x:c r="P76" s="35" t="str">
        <x:f>IF(OR($E76="",$F76=""),"",IF($I76="Either date",IF(OR(AND(P$15&lt;=$E76,P$15+6&gt;=$E76),AND(P$15&lt;=$F76,P$15+6&gt;=$F76)),3,""),IF(AND(P$15&lt;=$F76,P$15+6&gt;=$E76),IF($I76="Milestone",IF(AND(OR($D76="Complete",$D76="Submitted"),$F76&gt;Sources!$C$5),"T",2),IF(AND(OR($D76="Complete",$D76="Submitted"),P$15&gt;Sources!$C$5),4,1)),"")))</x:f>
      </x:c>
      <x:c r="Q76" s="35" t="n">
        <x:f>IF(OR($E76="",$F76=""),"",IF($I76="Either date",IF(OR(AND(Q$15&lt;=$E76,Q$15+6&gt;=$E76),AND(Q$15&lt;=$F76,Q$15+6&gt;=$F76)),3,""),IF(AND(Q$15&lt;=$F76,Q$15+6&gt;=$E76),IF($I76="Milestone",IF(AND(OR($D76="Complete",$D76="Submitted"),$F76&gt;Sources!$C$5),"T",2),IF(AND(OR($D76="Complete",$D76="Submitted"),Q$15&gt;Sources!$C$5),4,1)),"")))</x:f>
        <x:v>1</x:v>
      </x:c>
      <x:c r="R76" s="35" t="str">
        <x:f>IF(OR($E76="",$F76=""),"",IF($I76="Either date",IF(OR(AND(R$15&lt;=$E76,R$15+6&gt;=$E76),AND(R$15&lt;=$F76,R$15+6&gt;=$F76)),3,""),IF(AND(R$15&lt;=$F76,R$15+6&gt;=$E76),IF($I76="Milestone",IF(AND(OR($D76="Complete",$D76="Submitted"),$F76&gt;Sources!$C$5),"T",2),IF(AND(OR($D76="Complete",$D76="Submitted"),R$15&gt;Sources!$C$5),4,1)),"")))</x:f>
      </x:c>
      <x:c r="S76" s="35" t="str">
        <x:f>IF(OR($E76="",$F76=""),"",IF($I76="Either date",IF(OR(AND(S$15&lt;=$E76,S$15+6&gt;=$E76),AND(S$15&lt;=$F76,S$15+6&gt;=$F76)),3,""),IF(AND(S$15&lt;=$F76,S$15+6&gt;=$E76),IF($I76="Milestone",IF(AND(OR($D76="Complete",$D76="Submitted"),$F76&gt;Sources!$C$5),"T",2),IF(AND(OR($D76="Complete",$D76="Submitted"),S$15&gt;Sources!$C$5),4,1)),"")))</x:f>
      </x:c>
      <x:c r="T76" s="35" t="str">
        <x:f>IF(OR($E76="",$F76=""),"",IF($I76="Either date",IF(OR(AND(T$15&lt;=$E76,T$15+6&gt;=$E76),AND(T$15&lt;=$F76,T$15+6&gt;=$F76)),3,""),IF(AND(T$15&lt;=$F76,T$15+6&gt;=$E76),IF($I76="Milestone",IF(AND(OR($D76="Complete",$D76="Submitted"),$F76&gt;Sources!$C$5),"T",2),IF(AND(OR($D76="Complete",$D76="Submitted"),T$15&gt;Sources!$C$5),4,1)),"")))</x:f>
      </x:c>
      <x:c r="U76" s="2"/>
      <x:c r="V76" s="2" t="str"/>
      <x:c r="W76" s="18" t="str">
        <x:v>Course log</x:v>
      </x:c>
      <x:c r="X76" s="18" t="str">
        <x:v>Submitted Gantt</x:v>
      </x:c>
    </x:row>
    <x:row r="77" ht="38" customHeight="1">
      <x:c r="A77" s="36" t="str">
        <x:v>L14</x:v>
      </x:c>
      <x:c r="B77" s="37" t="str">
        <x:v>Maintain and submit Week 14 project log</x:v>
      </x:c>
      <x:c r="C77" s="37" t="str">
        <x:v>All four</x:v>
      </x:c>
      <x:c r="D77" s="36" t="str">
        <x:v>Planned</x:v>
      </x:c>
      <x:c r="E77" s="38" t="d">
        <x:v>2026-11-30T00:00:00.000Z</x:v>
      </x:c>
      <x:c r="F77" s="38" t="d">
        <x:v>2026-12-04T00:00:00.000Z</x:v>
      </x:c>
      <x:c r="G77" s="36" t="n">
        <x:f>IF(OR(E77="",F77="",I77="Either date"),"",IF(F77&lt;E77,"Review",F77-E77+1))</x:f>
        <x:v>5</x:v>
      </x:c>
      <x:c r="H77" s="37" t="str"/>
      <x:c r="I77" s="37" t="str">
        <x:v>Window</x:v>
      </x:c>
      <x:c r="J77" s="35" t="str">
        <x:f>IF(OR($E77="",$F77=""),"",IF($I77="Either date",IF(OR(AND(J$15&lt;=$E77,J$15+6&gt;=$E77),AND(J$15&lt;=$F77,J$15+6&gt;=$F77)),3,""),IF(AND(J$15&lt;=$F77,J$15+6&gt;=$E77),IF($I77="Milestone",IF(AND(OR($D77="Complete",$D77="Submitted"),$F77&gt;Sources!$C$5),"T",2),IF(AND(OR($D77="Complete",$D77="Submitted"),J$15&gt;Sources!$C$5),4,1)),"")))</x:f>
      </x:c>
      <x:c r="K77" s="35" t="str">
        <x:f>IF(OR($E77="",$F77=""),"",IF($I77="Either date",IF(OR(AND(K$15&lt;=$E77,K$15+6&gt;=$E77),AND(K$15&lt;=$F77,K$15+6&gt;=$F77)),3,""),IF(AND(K$15&lt;=$F77,K$15+6&gt;=$E77),IF($I77="Milestone",IF(AND(OR($D77="Complete",$D77="Submitted"),$F77&gt;Sources!$C$5),"T",2),IF(AND(OR($D77="Complete",$D77="Submitted"),K$15&gt;Sources!$C$5),4,1)),"")))</x:f>
      </x:c>
      <x:c r="L77" s="35" t="str">
        <x:f>IF(OR($E77="",$F77=""),"",IF($I77="Either date",IF(OR(AND(L$15&lt;=$E77,L$15+6&gt;=$E77),AND(L$15&lt;=$F77,L$15+6&gt;=$F77)),3,""),IF(AND(L$15&lt;=$F77,L$15+6&gt;=$E77),IF($I77="Milestone",IF(AND(OR($D77="Complete",$D77="Submitted"),$F77&gt;Sources!$C$5),"T",2),IF(AND(OR($D77="Complete",$D77="Submitted"),L$15&gt;Sources!$C$5),4,1)),"")))</x:f>
      </x:c>
      <x:c r="M77" s="35" t="str">
        <x:f>IF(OR($E77="",$F77=""),"",IF($I77="Either date",IF(OR(AND(M$15&lt;=$E77,M$15+6&gt;=$E77),AND(M$15&lt;=$F77,M$15+6&gt;=$F77)),3,""),IF(AND(M$15&lt;=$F77,M$15+6&gt;=$E77),IF($I77="Milestone",IF(AND(OR($D77="Complete",$D77="Submitted"),$F77&gt;Sources!$C$5),"T",2),IF(AND(OR($D77="Complete",$D77="Submitted"),M$15&gt;Sources!$C$5),4,1)),"")))</x:f>
      </x:c>
      <x:c r="N77" s="35" t="str">
        <x:f>IF(OR($E77="",$F77=""),"",IF($I77="Either date",IF(OR(AND(N$15&lt;=$E77,N$15+6&gt;=$E77),AND(N$15&lt;=$F77,N$15+6&gt;=$F77)),3,""),IF(AND(N$15&lt;=$F77,N$15+6&gt;=$E77),IF($I77="Milestone",IF(AND(OR($D77="Complete",$D77="Submitted"),$F77&gt;Sources!$C$5),"T",2),IF(AND(OR($D77="Complete",$D77="Submitted"),N$15&gt;Sources!$C$5),4,1)),"")))</x:f>
      </x:c>
      <x:c r="O77" s="35" t="str">
        <x:f>IF(OR($E77="",$F77=""),"",IF($I77="Either date",IF(OR(AND(O$15&lt;=$E77,O$15+6&gt;=$E77),AND(O$15&lt;=$F77,O$15+6&gt;=$F77)),3,""),IF(AND(O$15&lt;=$F77,O$15+6&gt;=$E77),IF($I77="Milestone",IF(AND(OR($D77="Complete",$D77="Submitted"),$F77&gt;Sources!$C$5),"T",2),IF(AND(OR($D77="Complete",$D77="Submitted"),O$15&gt;Sources!$C$5),4,1)),"")))</x:f>
      </x:c>
      <x:c r="P77" s="35" t="str">
        <x:f>IF(OR($E77="",$F77=""),"",IF($I77="Either date",IF(OR(AND(P$15&lt;=$E77,P$15+6&gt;=$E77),AND(P$15&lt;=$F77,P$15+6&gt;=$F77)),3,""),IF(AND(P$15&lt;=$F77,P$15+6&gt;=$E77),IF($I77="Milestone",IF(AND(OR($D77="Complete",$D77="Submitted"),$F77&gt;Sources!$C$5),"T",2),IF(AND(OR($D77="Complete",$D77="Submitted"),P$15&gt;Sources!$C$5),4,1)),"")))</x:f>
      </x:c>
      <x:c r="Q77" s="35" t="str">
        <x:f>IF(OR($E77="",$F77=""),"",IF($I77="Either date",IF(OR(AND(Q$15&lt;=$E77,Q$15+6&gt;=$E77),AND(Q$15&lt;=$F77,Q$15+6&gt;=$F77)),3,""),IF(AND(Q$15&lt;=$F77,Q$15+6&gt;=$E77),IF($I77="Milestone",IF(AND(OR($D77="Complete",$D77="Submitted"),$F77&gt;Sources!$C$5),"T",2),IF(AND(OR($D77="Complete",$D77="Submitted"),Q$15&gt;Sources!$C$5),4,1)),"")))</x:f>
      </x:c>
      <x:c r="R77" s="35" t="str">
        <x:f>IF(OR($E77="",$F77=""),"",IF($I77="Either date",IF(OR(AND(R$15&lt;=$E77,R$15+6&gt;=$E77),AND(R$15&lt;=$F77,R$15+6&gt;=$F77)),3,""),IF(AND(R$15&lt;=$F77,R$15+6&gt;=$E77),IF($I77="Milestone",IF(AND(OR($D77="Complete",$D77="Submitted"),$F77&gt;Sources!$C$5),"T",2),IF(AND(OR($D77="Complete",$D77="Submitted"),R$15&gt;Sources!$C$5),4,1)),"")))</x:f>
      </x:c>
      <x:c r="S77" s="35" t="n">
        <x:f>IF(OR($E77="",$F77=""),"",IF($I77="Either date",IF(OR(AND(S$15&lt;=$E77,S$15+6&gt;=$E77),AND(S$15&lt;=$F77,S$15+6&gt;=$F77)),3,""),IF(AND(S$15&lt;=$F77,S$15+6&gt;=$E77),IF($I77="Milestone",IF(AND(OR($D77="Complete",$D77="Submitted"),$F77&gt;Sources!$C$5),"T",2),IF(AND(OR($D77="Complete",$D77="Submitted"),S$15&gt;Sources!$C$5),4,1)),"")))</x:f>
        <x:v>1</x:v>
      </x:c>
      <x:c r="T77" s="35" t="str">
        <x:f>IF(OR($E77="",$F77=""),"",IF($I77="Either date",IF(OR(AND(T$15&lt;=$E77,T$15+6&gt;=$E77),AND(T$15&lt;=$F77,T$15+6&gt;=$F77)),3,""),IF(AND(T$15&lt;=$F77,T$15+6&gt;=$E77),IF($I77="Milestone",IF(AND(OR($D77="Complete",$D77="Submitted"),$F77&gt;Sources!$C$5),"T",2),IF(AND(OR($D77="Complete",$D77="Submitted"),T$15&gt;Sources!$C$5),4,1)),"")))</x:f>
      </x:c>
      <x:c r="U77" s="2"/>
      <x:c r="V77" s="2" t="str"/>
      <x:c r="W77" s="18" t="str">
        <x:v>Course log</x:v>
      </x:c>
      <x:c r="X77" s="18" t="str">
        <x:v>Submitted Gantt</x:v>
      </x:c>
    </x:row>
    <x:row r="78" ht="24" customHeight="1">
      <x:c r="A78" s="33" t="str">
        <x:v>Course milestones</x:v>
      </x:c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2"/>
      <x:c r="V78" s="2"/>
      <x:c r="W78" s="18"/>
      <x:c r="X78" s="18"/>
    </x:row>
    <x:row r="79" ht="38" customHeight="1">
      <x:c r="A79" s="2" t="str">
        <x:v>C1</x:v>
      </x:c>
      <x:c r="B79" s="18" t="str">
        <x:v>Concept Selection &amp; Gantt Chart</x:v>
      </x:c>
      <x:c r="C79" s="18" t="str">
        <x:v>All four</x:v>
      </x:c>
      <x:c r="D79" s="2" t="str">
        <x:v>Complete</x:v>
      </x:c>
      <x:c r="E79" s="15" t="d">
        <x:v>2026-09-28T00:00:00.000Z</x:v>
      </x:c>
      <x:c r="F79" s="15" t="d">
        <x:v>2026-09-28T00:00:00.000Z</x:v>
      </x:c>
      <x:c r="G79" s="2" t="n">
        <x:f>IF(OR(E79="",F79="",I79="Either date"),"",IF(F79&lt;E79,"Review",F79-E79+1))</x:f>
        <x:v>1</x:v>
      </x:c>
      <x:c r="H79" s="18" t="str">
        <x:v>R1</x:v>
      </x:c>
      <x:c r="I79" s="18" t="str">
        <x:v>Milestone</x:v>
      </x:c>
      <x:c r="J79" s="35" t="n">
        <x:f>IF(OR($E79="",$F79=""),"",IF($I79="Either date",IF(OR(AND(J$15&lt;=$E79,J$15+6&gt;=$E79),AND(J$15&lt;=$F79,J$15+6&gt;=$F79)),3,""),IF(AND(J$15&lt;=$F79,J$15+6&gt;=$E79),IF($I79="Milestone",IF(AND(OR($D79="Complete",$D79="Submitted"),$F79&gt;Sources!$C$5),"T",2),IF(AND(OR($D79="Complete",$D79="Submitted"),J$15&gt;Sources!$C$5),4,1)),"")))</x:f>
        <x:v>2</x:v>
      </x:c>
      <x:c r="K79" s="35" t="str">
        <x:f>IF(OR($E79="",$F79=""),"",IF($I79="Either date",IF(OR(AND(K$15&lt;=$E79,K$15+6&gt;=$E79),AND(K$15&lt;=$F79,K$15+6&gt;=$F79)),3,""),IF(AND(K$15&lt;=$F79,K$15+6&gt;=$E79),IF($I79="Milestone",IF(AND(OR($D79="Complete",$D79="Submitted"),$F79&gt;Sources!$C$5),"T",2),IF(AND(OR($D79="Complete",$D79="Submitted"),K$15&gt;Sources!$C$5),4,1)),"")))</x:f>
      </x:c>
      <x:c r="L79" s="35" t="str">
        <x:f>IF(OR($E79="",$F79=""),"",IF($I79="Either date",IF(OR(AND(L$15&lt;=$E79,L$15+6&gt;=$E79),AND(L$15&lt;=$F79,L$15+6&gt;=$F79)),3,""),IF(AND(L$15&lt;=$F79,L$15+6&gt;=$E79),IF($I79="Milestone",IF(AND(OR($D79="Complete",$D79="Submitted"),$F79&gt;Sources!$C$5),"T",2),IF(AND(OR($D79="Complete",$D79="Submitted"),L$15&gt;Sources!$C$5),4,1)),"")))</x:f>
      </x:c>
      <x:c r="M79" s="35" t="str">
        <x:f>IF(OR($E79="",$F79=""),"",IF($I79="Either date",IF(OR(AND(M$15&lt;=$E79,M$15+6&gt;=$E79),AND(M$15&lt;=$F79,M$15+6&gt;=$F79)),3,""),IF(AND(M$15&lt;=$F79,M$15+6&gt;=$E79),IF($I79="Milestone",IF(AND(OR($D79="Complete",$D79="Submitted"),$F79&gt;Sources!$C$5),"T",2),IF(AND(OR($D79="Complete",$D79="Submitted"),M$15&gt;Sources!$C$5),4,1)),"")))</x:f>
      </x:c>
      <x:c r="N79" s="35" t="str">
        <x:f>IF(OR($E79="",$F79=""),"",IF($I79="Either date",IF(OR(AND(N$15&lt;=$E79,N$15+6&gt;=$E79),AND(N$15&lt;=$F79,N$15+6&gt;=$F79)),3,""),IF(AND(N$15&lt;=$F79,N$15+6&gt;=$E79),IF($I79="Milestone",IF(AND(OR($D79="Complete",$D79="Submitted"),$F79&gt;Sources!$C$5),"T",2),IF(AND(OR($D79="Complete",$D79="Submitted"),N$15&gt;Sources!$C$5),4,1)),"")))</x:f>
      </x:c>
      <x:c r="O79" s="35" t="str">
        <x:f>IF(OR($E79="",$F79=""),"",IF($I79="Either date",IF(OR(AND(O$15&lt;=$E79,O$15+6&gt;=$E79),AND(O$15&lt;=$F79,O$15+6&gt;=$F79)),3,""),IF(AND(O$15&lt;=$F79,O$15+6&gt;=$E79),IF($I79="Milestone",IF(AND(OR($D79="Complete",$D79="Submitted"),$F79&gt;Sources!$C$5),"T",2),IF(AND(OR($D79="Complete",$D79="Submitted"),O$15&gt;Sources!$C$5),4,1)),"")))</x:f>
      </x:c>
      <x:c r="P79" s="35" t="str">
        <x:f>IF(OR($E79="",$F79=""),"",IF($I79="Either date",IF(OR(AND(P$15&lt;=$E79,P$15+6&gt;=$E79),AND(P$15&lt;=$F79,P$15+6&gt;=$F79)),3,""),IF(AND(P$15&lt;=$F79,P$15+6&gt;=$E79),IF($I79="Milestone",IF(AND(OR($D79="Complete",$D79="Submitted"),$F79&gt;Sources!$C$5),"T",2),IF(AND(OR($D79="Complete",$D79="Submitted"),P$15&gt;Sources!$C$5),4,1)),"")))</x:f>
      </x:c>
      <x:c r="Q79" s="35" t="str">
        <x:f>IF(OR($E79="",$F79=""),"",IF($I79="Either date",IF(OR(AND(Q$15&lt;=$E79,Q$15+6&gt;=$E79),AND(Q$15&lt;=$F79,Q$15+6&gt;=$F79)),3,""),IF(AND(Q$15&lt;=$F79,Q$15+6&gt;=$E79),IF($I79="Milestone",IF(AND(OR($D79="Complete",$D79="Submitted"),$F79&gt;Sources!$C$5),"T",2),IF(AND(OR($D79="Complete",$D79="Submitted"),Q$15&gt;Sources!$C$5),4,1)),"")))</x:f>
      </x:c>
      <x:c r="R79" s="35" t="str">
        <x:f>IF(OR($E79="",$F79=""),"",IF($I79="Either date",IF(OR(AND(R$15&lt;=$E79,R$15+6&gt;=$E79),AND(R$15&lt;=$F79,R$15+6&gt;=$F79)),3,""),IF(AND(R$15&lt;=$F79,R$15+6&gt;=$E79),IF($I79="Milestone",IF(AND(OR($D79="Complete",$D79="Submitted"),$F79&gt;Sources!$C$5),"T",2),IF(AND(OR($D79="Complete",$D79="Submitted"),R$15&gt;Sources!$C$5),4,1)),"")))</x:f>
      </x:c>
      <x:c r="S79" s="35" t="str">
        <x:f>IF(OR($E79="",$F79=""),"",IF($I79="Either date",IF(OR(AND(S$15&lt;=$E79,S$15+6&gt;=$E79),AND(S$15&lt;=$F79,S$15+6&gt;=$F79)),3,""),IF(AND(S$15&lt;=$F79,S$15+6&gt;=$E79),IF($I79="Milestone",IF(AND(OR($D79="Complete",$D79="Submitted"),$F79&gt;Sources!$C$5),"T",2),IF(AND(OR($D79="Complete",$D79="Submitted"),S$15&gt;Sources!$C$5),4,1)),"")))</x:f>
      </x:c>
      <x:c r="T79" s="35" t="str">
        <x:f>IF(OR($E79="",$F79=""),"",IF($I79="Either date",IF(OR(AND(T$15&lt;=$E79,T$15+6&gt;=$E79),AND(T$15&lt;=$F79,T$15+6&gt;=$F79)),3,""),IF(AND(T$15&lt;=$F79,T$15+6&gt;=$E79),IF($I79="Milestone",IF(AND(OR($D79="Complete",$D79="Submitted"),$F79&gt;Sources!$C$5),"T",2),IF(AND(OR($D79="Complete",$D79="Submitted"),T$15&gt;Sources!$C$5),4,1)),"")))</x:f>
      </x:c>
      <x:c r="U79" s="2"/>
      <x:c r="V79" s="2" t="str"/>
      <x:c r="W79" s="18" t="str">
        <x:v>Course milestone</x:v>
      </x:c>
      <x:c r="X79" s="18" t="str">
        <x:v>Submitted Gantt</x:v>
      </x:c>
    </x:row>
    <x:row r="80" ht="38" customHeight="1">
      <x:c r="A80" s="36" t="str">
        <x:v>C2</x:v>
      </x:c>
      <x:c r="B80" s="37" t="str">
        <x:v>Week 6 project log</x:v>
      </x:c>
      <x:c r="C80" s="37" t="str">
        <x:v>All four</x:v>
      </x:c>
      <x:c r="D80" s="36" t="str">
        <x:v>Complete</x:v>
      </x:c>
      <x:c r="E80" s="38" t="d">
        <x:v>2026-10-02T00:00:00.000Z</x:v>
      </x:c>
      <x:c r="F80" s="38" t="d">
        <x:v>2026-10-02T00:00:00.000Z</x:v>
      </x:c>
      <x:c r="G80" s="36" t="n">
        <x:f>IF(OR(E80="",F80="",I80="Either date"),"",IF(F80&lt;E80,"Review",F80-E80+1))</x:f>
        <x:v>1</x:v>
      </x:c>
      <x:c r="H80" s="37" t="str">
        <x:v>L6</x:v>
      </x:c>
      <x:c r="I80" s="37" t="str">
        <x:v>Milestone</x:v>
      </x:c>
      <x:c r="J80" s="35" t="n">
        <x:f>IF(OR($E80="",$F80=""),"",IF($I80="Either date",IF(OR(AND(J$15&lt;=$E80,J$15+6&gt;=$E80),AND(J$15&lt;=$F80,J$15+6&gt;=$F80)),3,""),IF(AND(J$15&lt;=$F80,J$15+6&gt;=$E80),IF($I80="Milestone",IF(AND(OR($D80="Complete",$D80="Submitted"),$F80&gt;Sources!$C$5),"T",2),IF(AND(OR($D80="Complete",$D80="Submitted"),J$15&gt;Sources!$C$5),4,1)),"")))</x:f>
        <x:v>2</x:v>
      </x:c>
      <x:c r="K80" s="35" t="str">
        <x:f>IF(OR($E80="",$F80=""),"",IF($I80="Either date",IF(OR(AND(K$15&lt;=$E80,K$15+6&gt;=$E80),AND(K$15&lt;=$F80,K$15+6&gt;=$F80)),3,""),IF(AND(K$15&lt;=$F80,K$15+6&gt;=$E80),IF($I80="Milestone",IF(AND(OR($D80="Complete",$D80="Submitted"),$F80&gt;Sources!$C$5),"T",2),IF(AND(OR($D80="Complete",$D80="Submitted"),K$15&gt;Sources!$C$5),4,1)),"")))</x:f>
      </x:c>
      <x:c r="L80" s="35" t="str">
        <x:f>IF(OR($E80="",$F80=""),"",IF($I80="Either date",IF(OR(AND(L$15&lt;=$E80,L$15+6&gt;=$E80),AND(L$15&lt;=$F80,L$15+6&gt;=$F80)),3,""),IF(AND(L$15&lt;=$F80,L$15+6&gt;=$E80),IF($I80="Milestone",IF(AND(OR($D80="Complete",$D80="Submitted"),$F80&gt;Sources!$C$5),"T",2),IF(AND(OR($D80="Complete",$D80="Submitted"),L$15&gt;Sources!$C$5),4,1)),"")))</x:f>
      </x:c>
      <x:c r="M80" s="35" t="str">
        <x:f>IF(OR($E80="",$F80=""),"",IF($I80="Either date",IF(OR(AND(M$15&lt;=$E80,M$15+6&gt;=$E80),AND(M$15&lt;=$F80,M$15+6&gt;=$F80)),3,""),IF(AND(M$15&lt;=$F80,M$15+6&gt;=$E80),IF($I80="Milestone",IF(AND(OR($D80="Complete",$D80="Submitted"),$F80&gt;Sources!$C$5),"T",2),IF(AND(OR($D80="Complete",$D80="Submitted"),M$15&gt;Sources!$C$5),4,1)),"")))</x:f>
      </x:c>
      <x:c r="N80" s="35" t="str">
        <x:f>IF(OR($E80="",$F80=""),"",IF($I80="Either date",IF(OR(AND(N$15&lt;=$E80,N$15+6&gt;=$E80),AND(N$15&lt;=$F80,N$15+6&gt;=$F80)),3,""),IF(AND(N$15&lt;=$F80,N$15+6&gt;=$E80),IF($I80="Milestone",IF(AND(OR($D80="Complete",$D80="Submitted"),$F80&gt;Sources!$C$5),"T",2),IF(AND(OR($D80="Complete",$D80="Submitted"),N$15&gt;Sources!$C$5),4,1)),"")))</x:f>
      </x:c>
      <x:c r="O80" s="35" t="str">
        <x:f>IF(OR($E80="",$F80=""),"",IF($I80="Either date",IF(OR(AND(O$15&lt;=$E80,O$15+6&gt;=$E80),AND(O$15&lt;=$F80,O$15+6&gt;=$F80)),3,""),IF(AND(O$15&lt;=$F80,O$15+6&gt;=$E80),IF($I80="Milestone",IF(AND(OR($D80="Complete",$D80="Submitted"),$F80&gt;Sources!$C$5),"T",2),IF(AND(OR($D80="Complete",$D80="Submitted"),O$15&gt;Sources!$C$5),4,1)),"")))</x:f>
      </x:c>
      <x:c r="P80" s="35" t="str">
        <x:f>IF(OR($E80="",$F80=""),"",IF($I80="Either date",IF(OR(AND(P$15&lt;=$E80,P$15+6&gt;=$E80),AND(P$15&lt;=$F80,P$15+6&gt;=$F80)),3,""),IF(AND(P$15&lt;=$F80,P$15+6&gt;=$E80),IF($I80="Milestone",IF(AND(OR($D80="Complete",$D80="Submitted"),$F80&gt;Sources!$C$5),"T",2),IF(AND(OR($D80="Complete",$D80="Submitted"),P$15&gt;Sources!$C$5),4,1)),"")))</x:f>
      </x:c>
      <x:c r="Q80" s="35" t="str">
        <x:f>IF(OR($E80="",$F80=""),"",IF($I80="Either date",IF(OR(AND(Q$15&lt;=$E80,Q$15+6&gt;=$E80),AND(Q$15&lt;=$F80,Q$15+6&gt;=$F80)),3,""),IF(AND(Q$15&lt;=$F80,Q$15+6&gt;=$E80),IF($I80="Milestone",IF(AND(OR($D80="Complete",$D80="Submitted"),$F80&gt;Sources!$C$5),"T",2),IF(AND(OR($D80="Complete",$D80="Submitted"),Q$15&gt;Sources!$C$5),4,1)),"")))</x:f>
      </x:c>
      <x:c r="R80" s="35" t="str">
        <x:f>IF(OR($E80="",$F80=""),"",IF($I80="Either date",IF(OR(AND(R$15&lt;=$E80,R$15+6&gt;=$E80),AND(R$15&lt;=$F80,R$15+6&gt;=$F80)),3,""),IF(AND(R$15&lt;=$F80,R$15+6&gt;=$E80),IF($I80="Milestone",IF(AND(OR($D80="Complete",$D80="Submitted"),$F80&gt;Sources!$C$5),"T",2),IF(AND(OR($D80="Complete",$D80="Submitted"),R$15&gt;Sources!$C$5),4,1)),"")))</x:f>
      </x:c>
      <x:c r="S80" s="35" t="str">
        <x:f>IF(OR($E80="",$F80=""),"",IF($I80="Either date",IF(OR(AND(S$15&lt;=$E80,S$15+6&gt;=$E80),AND(S$15&lt;=$F80,S$15+6&gt;=$F80)),3,""),IF(AND(S$15&lt;=$F80,S$15+6&gt;=$E80),IF($I80="Milestone",IF(AND(OR($D80="Complete",$D80="Submitted"),$F80&gt;Sources!$C$5),"T",2),IF(AND(OR($D80="Complete",$D80="Submitted"),S$15&gt;Sources!$C$5),4,1)),"")))</x:f>
      </x:c>
      <x:c r="T80" s="35" t="str">
        <x:f>IF(OR($E80="",$F80=""),"",IF($I80="Either date",IF(OR(AND(T$15&lt;=$E80,T$15+6&gt;=$E80),AND(T$15&lt;=$F80,T$15+6&gt;=$F80)),3,""),IF(AND(T$15&lt;=$F80,T$15+6&gt;=$E80),IF($I80="Milestone",IF(AND(OR($D80="Complete",$D80="Submitted"),$F80&gt;Sources!$C$5),"T",2),IF(AND(OR($D80="Complete",$D80="Submitted"),T$15&gt;Sources!$C$5),4,1)),"")))</x:f>
      </x:c>
      <x:c r="U80" s="2"/>
      <x:c r="V80" s="2" t="str"/>
      <x:c r="W80" s="18" t="str">
        <x:v>Course milestone</x:v>
      </x:c>
      <x:c r="X80" s="18" t="str">
        <x:v>Submitted Gantt</x:v>
      </x:c>
    </x:row>
    <x:row r="81" ht="38" customHeight="1">
      <x:c r="A81" s="2" t="str">
        <x:v>C3</x:v>
      </x:c>
      <x:c r="B81" s="18" t="str">
        <x:v>System Architecture and Prototype Plan</x:v>
      </x:c>
      <x:c r="C81" s="18" t="str">
        <x:v>All four</x:v>
      </x:c>
      <x:c r="D81" s="2" t="str">
        <x:v>Complete</x:v>
      </x:c>
      <x:c r="E81" s="15" t="d">
        <x:v>2026-10-05T00:00:00.000Z</x:v>
      </x:c>
      <x:c r="F81" s="15" t="d">
        <x:v>2026-10-05T00:00:00.000Z</x:v>
      </x:c>
      <x:c r="G81" s="2" t="n">
        <x:f>IF(OR(E81="",F81="",I81="Either date"),"",IF(F81&lt;E81,"Review",F81-E81+1))</x:f>
        <x:v>1</x:v>
      </x:c>
      <x:c r="H81" s="18" t="str">
        <x:v>R3</x:v>
      </x:c>
      <x:c r="I81" s="18" t="str">
        <x:v>Milestone</x:v>
      </x:c>
      <x:c r="J81" s="35" t="str">
        <x:f>IF(OR($E81="",$F81=""),"",IF($I81="Either date",IF(OR(AND(J$15&lt;=$E81,J$15+6&gt;=$E81),AND(J$15&lt;=$F81,J$15+6&gt;=$F81)),3,""),IF(AND(J$15&lt;=$F81,J$15+6&gt;=$E81),IF($I81="Milestone",IF(AND(OR($D81="Complete",$D81="Submitted"),$F81&gt;Sources!$C$5),"T",2),IF(AND(OR($D81="Complete",$D81="Submitted"),J$15&gt;Sources!$C$5),4,1)),"")))</x:f>
      </x:c>
      <x:c r="K81" s="35" t="n">
        <x:f>IF(OR($E81="",$F81=""),"",IF($I81="Either date",IF(OR(AND(K$15&lt;=$E81,K$15+6&gt;=$E81),AND(K$15&lt;=$F81,K$15+6&gt;=$F81)),3,""),IF(AND(K$15&lt;=$F81,K$15+6&gt;=$E81),IF($I81="Milestone",IF(AND(OR($D81="Complete",$D81="Submitted"),$F81&gt;Sources!$C$5),"T",2),IF(AND(OR($D81="Complete",$D81="Submitted"),K$15&gt;Sources!$C$5),4,1)),"")))</x:f>
        <x:v>2</x:v>
      </x:c>
      <x:c r="L81" s="35" t="str">
        <x:f>IF(OR($E81="",$F81=""),"",IF($I81="Either date",IF(OR(AND(L$15&lt;=$E81,L$15+6&gt;=$E81),AND(L$15&lt;=$F81,L$15+6&gt;=$F81)),3,""),IF(AND(L$15&lt;=$F81,L$15+6&gt;=$E81),IF($I81="Milestone",IF(AND(OR($D81="Complete",$D81="Submitted"),$F81&gt;Sources!$C$5),"T",2),IF(AND(OR($D81="Complete",$D81="Submitted"),L$15&gt;Sources!$C$5),4,1)),"")))</x:f>
      </x:c>
      <x:c r="M81" s="35" t="str">
        <x:f>IF(OR($E81="",$F81=""),"",IF($I81="Either date",IF(OR(AND(M$15&lt;=$E81,M$15+6&gt;=$E81),AND(M$15&lt;=$F81,M$15+6&gt;=$F81)),3,""),IF(AND(M$15&lt;=$F81,M$15+6&gt;=$E81),IF($I81="Milestone",IF(AND(OR($D81="Complete",$D81="Submitted"),$F81&gt;Sources!$C$5),"T",2),IF(AND(OR($D81="Complete",$D81="Submitted"),M$15&gt;Sources!$C$5),4,1)),"")))</x:f>
      </x:c>
      <x:c r="N81" s="35" t="str">
        <x:f>IF(OR($E81="",$F81=""),"",IF($I81="Either date",IF(OR(AND(N$15&lt;=$E81,N$15+6&gt;=$E81),AND(N$15&lt;=$F81,N$15+6&gt;=$F81)),3,""),IF(AND(N$15&lt;=$F81,N$15+6&gt;=$E81),IF($I81="Milestone",IF(AND(OR($D81="Complete",$D81="Submitted"),$F81&gt;Sources!$C$5),"T",2),IF(AND(OR($D81="Complete",$D81="Submitted"),N$15&gt;Sources!$C$5),4,1)),"")))</x:f>
      </x:c>
      <x:c r="O81" s="35" t="str">
        <x:f>IF(OR($E81="",$F81=""),"",IF($I81="Either date",IF(OR(AND(O$15&lt;=$E81,O$15+6&gt;=$E81),AND(O$15&lt;=$F81,O$15+6&gt;=$F81)),3,""),IF(AND(O$15&lt;=$F81,O$15+6&gt;=$E81),IF($I81="Milestone",IF(AND(OR($D81="Complete",$D81="Submitted"),$F81&gt;Sources!$C$5),"T",2),IF(AND(OR($D81="Complete",$D81="Submitted"),O$15&gt;Sources!$C$5),4,1)),"")))</x:f>
      </x:c>
      <x:c r="P81" s="35" t="str">
        <x:f>IF(OR($E81="",$F81=""),"",IF($I81="Either date",IF(OR(AND(P$15&lt;=$E81,P$15+6&gt;=$E81),AND(P$15&lt;=$F81,P$15+6&gt;=$F81)),3,""),IF(AND(P$15&lt;=$F81,P$15+6&gt;=$E81),IF($I81="Milestone",IF(AND(OR($D81="Complete",$D81="Submitted"),$F81&gt;Sources!$C$5),"T",2),IF(AND(OR($D81="Complete",$D81="Submitted"),P$15&gt;Sources!$C$5),4,1)),"")))</x:f>
      </x:c>
      <x:c r="Q81" s="35" t="str">
        <x:f>IF(OR($E81="",$F81=""),"",IF($I81="Either date",IF(OR(AND(Q$15&lt;=$E81,Q$15+6&gt;=$E81),AND(Q$15&lt;=$F81,Q$15+6&gt;=$F81)),3,""),IF(AND(Q$15&lt;=$F81,Q$15+6&gt;=$E81),IF($I81="Milestone",IF(AND(OR($D81="Complete",$D81="Submitted"),$F81&gt;Sources!$C$5),"T",2),IF(AND(OR($D81="Complete",$D81="Submitted"),Q$15&gt;Sources!$C$5),4,1)),"")))</x:f>
      </x:c>
      <x:c r="R81" s="35" t="str">
        <x:f>IF(OR($E81="",$F81=""),"",IF($I81="Either date",IF(OR(AND(R$15&lt;=$E81,R$15+6&gt;=$E81),AND(R$15&lt;=$F81,R$15+6&gt;=$F81)),3,""),IF(AND(R$15&lt;=$F81,R$15+6&gt;=$E81),IF($I81="Milestone",IF(AND(OR($D81="Complete",$D81="Submitted"),$F81&gt;Sources!$C$5),"T",2),IF(AND(OR($D81="Complete",$D81="Submitted"),R$15&gt;Sources!$C$5),4,1)),"")))</x:f>
      </x:c>
      <x:c r="S81" s="35" t="str">
        <x:f>IF(OR($E81="",$F81=""),"",IF($I81="Either date",IF(OR(AND(S$15&lt;=$E81,S$15+6&gt;=$E81),AND(S$15&lt;=$F81,S$15+6&gt;=$F81)),3,""),IF(AND(S$15&lt;=$F81,S$15+6&gt;=$E81),IF($I81="Milestone",IF(AND(OR($D81="Complete",$D81="Submitted"),$F81&gt;Sources!$C$5),"T",2),IF(AND(OR($D81="Complete",$D81="Submitted"),S$15&gt;Sources!$C$5),4,1)),"")))</x:f>
      </x:c>
      <x:c r="T81" s="35" t="str">
        <x:f>IF(OR($E81="",$F81=""),"",IF($I81="Either date",IF(OR(AND(T$15&lt;=$E81,T$15+6&gt;=$E81),AND(T$15&lt;=$F81,T$15+6&gt;=$F81)),3,""),IF(AND(T$15&lt;=$F81,T$15+6&gt;=$E81),IF($I81="Milestone",IF(AND(OR($D81="Complete",$D81="Submitted"),$F81&gt;Sources!$C$5),"T",2),IF(AND(OR($D81="Complete",$D81="Submitted"),T$15&gt;Sources!$C$5),4,1)),"")))</x:f>
      </x:c>
      <x:c r="U81" s="2"/>
      <x:c r="V81" s="2" t="str"/>
      <x:c r="W81" s="18" t="str">
        <x:v>Course milestone</x:v>
      </x:c>
      <x:c r="X81" s="18" t="str">
        <x:v>Submitted Gantt</x:v>
      </x:c>
    </x:row>
    <x:row r="82" ht="38" customHeight="1">
      <x:c r="A82" s="36" t="str">
        <x:v>C4</x:v>
      </x:c>
      <x:c r="B82" s="37" t="str">
        <x:v>Week 7 Team Progress Check-in: Prototypes 1 and 2</x:v>
      </x:c>
      <x:c r="C82" s="37" t="str">
        <x:v>All four</x:v>
      </x:c>
      <x:c r="D82" s="36" t="str">
        <x:v>Complete</x:v>
      </x:c>
      <x:c r="E82" s="38" t="d">
        <x:v>2026-10-09T00:00:00.000Z</x:v>
      </x:c>
      <x:c r="F82" s="38" t="d">
        <x:v>2026-10-09T00:00:00.000Z</x:v>
      </x:c>
      <x:c r="G82" s="36" t="n">
        <x:f>IF(OR(E82="",F82="",I82="Either date"),"",IF(F82&lt;E82,"Review",F82-E82+1))</x:f>
        <x:v>1</x:v>
      </x:c>
      <x:c r="H82" s="37" t="str">
        <x:v>Progress from prototype work</x:v>
      </x:c>
      <x:c r="I82" s="37" t="str">
        <x:v>Milestone</x:v>
      </x:c>
      <x:c r="J82" s="35" t="str">
        <x:f>IF(OR($E82="",$F82=""),"",IF($I82="Either date",IF(OR(AND(J$15&lt;=$E82,J$15+6&gt;=$E82),AND(J$15&lt;=$F82,J$15+6&gt;=$F82)),3,""),IF(AND(J$15&lt;=$F82,J$15+6&gt;=$E82),IF($I82="Milestone",IF(AND(OR($D82="Complete",$D82="Submitted"),$F82&gt;Sources!$C$5),"T",2),IF(AND(OR($D82="Complete",$D82="Submitted"),J$15&gt;Sources!$C$5),4,1)),"")))</x:f>
      </x:c>
      <x:c r="K82" s="35" t="n">
        <x:f>IF(OR($E82="",$F82=""),"",IF($I82="Either date",IF(OR(AND(K$15&lt;=$E82,K$15+6&gt;=$E82),AND(K$15&lt;=$F82,K$15+6&gt;=$F82)),3,""),IF(AND(K$15&lt;=$F82,K$15+6&gt;=$E82),IF($I82="Milestone",IF(AND(OR($D82="Complete",$D82="Submitted"),$F82&gt;Sources!$C$5),"T",2),IF(AND(OR($D82="Complete",$D82="Submitted"),K$15&gt;Sources!$C$5),4,1)),"")))</x:f>
        <x:v>2</x:v>
      </x:c>
      <x:c r="L82" s="35" t="str">
        <x:f>IF(OR($E82="",$F82=""),"",IF($I82="Either date",IF(OR(AND(L$15&lt;=$E82,L$15+6&gt;=$E82),AND(L$15&lt;=$F82,L$15+6&gt;=$F82)),3,""),IF(AND(L$15&lt;=$F82,L$15+6&gt;=$E82),IF($I82="Milestone",IF(AND(OR($D82="Complete",$D82="Submitted"),$F82&gt;Sources!$C$5),"T",2),IF(AND(OR($D82="Complete",$D82="Submitted"),L$15&gt;Sources!$C$5),4,1)),"")))</x:f>
      </x:c>
      <x:c r="M82" s="35" t="str">
        <x:f>IF(OR($E82="",$F82=""),"",IF($I82="Either date",IF(OR(AND(M$15&lt;=$E82,M$15+6&gt;=$E82),AND(M$15&lt;=$F82,M$15+6&gt;=$F82)),3,""),IF(AND(M$15&lt;=$F82,M$15+6&gt;=$E82),IF($I82="Milestone",IF(AND(OR($D82="Complete",$D82="Submitted"),$F82&gt;Sources!$C$5),"T",2),IF(AND(OR($D82="Complete",$D82="Submitted"),M$15&gt;Sources!$C$5),4,1)),"")))</x:f>
      </x:c>
      <x:c r="N82" s="35" t="str">
        <x:f>IF(OR($E82="",$F82=""),"",IF($I82="Either date",IF(OR(AND(N$15&lt;=$E82,N$15+6&gt;=$E82),AND(N$15&lt;=$F82,N$15+6&gt;=$F82)),3,""),IF(AND(N$15&lt;=$F82,N$15+6&gt;=$E82),IF($I82="Milestone",IF(AND(OR($D82="Complete",$D82="Submitted"),$F82&gt;Sources!$C$5),"T",2),IF(AND(OR($D82="Complete",$D82="Submitted"),N$15&gt;Sources!$C$5),4,1)),"")))</x:f>
      </x:c>
      <x:c r="O82" s="35" t="str">
        <x:f>IF(OR($E82="",$F82=""),"",IF($I82="Either date",IF(OR(AND(O$15&lt;=$E82,O$15+6&gt;=$E82),AND(O$15&lt;=$F82,O$15+6&gt;=$F82)),3,""),IF(AND(O$15&lt;=$F82,O$15+6&gt;=$E82),IF($I82="Milestone",IF(AND(OR($D82="Complete",$D82="Submitted"),$F82&gt;Sources!$C$5),"T",2),IF(AND(OR($D82="Complete",$D82="Submitted"),O$15&gt;Sources!$C$5),4,1)),"")))</x:f>
      </x:c>
      <x:c r="P82" s="35" t="str">
        <x:f>IF(OR($E82="",$F82=""),"",IF($I82="Either date",IF(OR(AND(P$15&lt;=$E82,P$15+6&gt;=$E82),AND(P$15&lt;=$F82,P$15+6&gt;=$F82)),3,""),IF(AND(P$15&lt;=$F82,P$15+6&gt;=$E82),IF($I82="Milestone",IF(AND(OR($D82="Complete",$D82="Submitted"),$F82&gt;Sources!$C$5),"T",2),IF(AND(OR($D82="Complete",$D82="Submitted"),P$15&gt;Sources!$C$5),4,1)),"")))</x:f>
      </x:c>
      <x:c r="Q82" s="35" t="str">
        <x:f>IF(OR($E82="",$F82=""),"",IF($I82="Either date",IF(OR(AND(Q$15&lt;=$E82,Q$15+6&gt;=$E82),AND(Q$15&lt;=$F82,Q$15+6&gt;=$F82)),3,""),IF(AND(Q$15&lt;=$F82,Q$15+6&gt;=$E82),IF($I82="Milestone",IF(AND(OR($D82="Complete",$D82="Submitted"),$F82&gt;Sources!$C$5),"T",2),IF(AND(OR($D82="Complete",$D82="Submitted"),Q$15&gt;Sources!$C$5),4,1)),"")))</x:f>
      </x:c>
      <x:c r="R82" s="35" t="str">
        <x:f>IF(OR($E82="",$F82=""),"",IF($I82="Either date",IF(OR(AND(R$15&lt;=$E82,R$15+6&gt;=$E82),AND(R$15&lt;=$F82,R$15+6&gt;=$F82)),3,""),IF(AND(R$15&lt;=$F82,R$15+6&gt;=$E82),IF($I82="Milestone",IF(AND(OR($D82="Complete",$D82="Submitted"),$F82&gt;Sources!$C$5),"T",2),IF(AND(OR($D82="Complete",$D82="Submitted"),R$15&gt;Sources!$C$5),4,1)),"")))</x:f>
      </x:c>
      <x:c r="S82" s="35" t="str">
        <x:f>IF(OR($E82="",$F82=""),"",IF($I82="Either date",IF(OR(AND(S$15&lt;=$E82,S$15+6&gt;=$E82),AND(S$15&lt;=$F82,S$15+6&gt;=$F82)),3,""),IF(AND(S$15&lt;=$F82,S$15+6&gt;=$E82),IF($I82="Milestone",IF(AND(OR($D82="Complete",$D82="Submitted"),$F82&gt;Sources!$C$5),"T",2),IF(AND(OR($D82="Complete",$D82="Submitted"),S$15&gt;Sources!$C$5),4,1)),"")))</x:f>
      </x:c>
      <x:c r="T82" s="35" t="str">
        <x:f>IF(OR($E82="",$F82=""),"",IF($I82="Either date",IF(OR(AND(T$15&lt;=$E82,T$15+6&gt;=$E82),AND(T$15&lt;=$F82,T$15+6&gt;=$F82)),3,""),IF(AND(T$15&lt;=$F82,T$15+6&gt;=$E82),IF($I82="Milestone",IF(AND(OR($D82="Complete",$D82="Submitted"),$F82&gt;Sources!$C$5),"T",2),IF(AND(OR($D82="Complete",$D82="Submitted"),T$15&gt;Sources!$C$5),4,1)),"")))</x:f>
      </x:c>
      <x:c r="U82" s="2"/>
      <x:c r="V82" s="2" t="str">
        <x:v>Progress reported while prototype work remained underway.</x:v>
      </x:c>
      <x:c r="W82" s="18" t="str">
        <x:v>Course milestone</x:v>
      </x:c>
      <x:c r="X82" s="18" t="str">
        <x:v>Submitted Gantt</x:v>
      </x:c>
    </x:row>
    <x:row r="83" ht="38" customHeight="1">
      <x:c r="A83" s="2" t="str">
        <x:v>C5</x:v>
      </x:c>
      <x:c r="B83" s="18" t="str">
        <x:v>Week 7 project log</x:v>
      </x:c>
      <x:c r="C83" s="18" t="str">
        <x:v>All four</x:v>
      </x:c>
      <x:c r="D83" s="2" t="str">
        <x:v>Complete</x:v>
      </x:c>
      <x:c r="E83" s="15" t="d">
        <x:v>2026-10-09T00:00:00.000Z</x:v>
      </x:c>
      <x:c r="F83" s="15" t="d">
        <x:v>2026-10-09T00:00:00.000Z</x:v>
      </x:c>
      <x:c r="G83" s="2" t="n">
        <x:f>IF(OR(E83="",F83="",I83="Either date"),"",IF(F83&lt;E83,"Review",F83-E83+1))</x:f>
        <x:v>1</x:v>
      </x:c>
      <x:c r="H83" s="18" t="str">
        <x:v>L7</x:v>
      </x:c>
      <x:c r="I83" s="18" t="str">
        <x:v>Milestone</x:v>
      </x:c>
      <x:c r="J83" s="35" t="str">
        <x:f>IF(OR($E83="",$F83=""),"",IF($I83="Either date",IF(OR(AND(J$15&lt;=$E83,J$15+6&gt;=$E83),AND(J$15&lt;=$F83,J$15+6&gt;=$F83)),3,""),IF(AND(J$15&lt;=$F83,J$15+6&gt;=$E83),IF($I83="Milestone",IF(AND(OR($D83="Complete",$D83="Submitted"),$F83&gt;Sources!$C$5),"T",2),IF(AND(OR($D83="Complete",$D83="Submitted"),J$15&gt;Sources!$C$5),4,1)),"")))</x:f>
      </x:c>
      <x:c r="K83" s="35" t="n">
        <x:f>IF(OR($E83="",$F83=""),"",IF($I83="Either date",IF(OR(AND(K$15&lt;=$E83,K$15+6&gt;=$E83),AND(K$15&lt;=$F83,K$15+6&gt;=$F83)),3,""),IF(AND(K$15&lt;=$F83,K$15+6&gt;=$E83),IF($I83="Milestone",IF(AND(OR($D83="Complete",$D83="Submitted"),$F83&gt;Sources!$C$5),"T",2),IF(AND(OR($D83="Complete",$D83="Submitted"),K$15&gt;Sources!$C$5),4,1)),"")))</x:f>
        <x:v>2</x:v>
      </x:c>
      <x:c r="L83" s="35" t="str">
        <x:f>IF(OR($E83="",$F83=""),"",IF($I83="Either date",IF(OR(AND(L$15&lt;=$E83,L$15+6&gt;=$E83),AND(L$15&lt;=$F83,L$15+6&gt;=$F83)),3,""),IF(AND(L$15&lt;=$F83,L$15+6&gt;=$E83),IF($I83="Milestone",IF(AND(OR($D83="Complete",$D83="Submitted"),$F83&gt;Sources!$C$5),"T",2),IF(AND(OR($D83="Complete",$D83="Submitted"),L$15&gt;Sources!$C$5),4,1)),"")))</x:f>
      </x:c>
      <x:c r="M83" s="35" t="str">
        <x:f>IF(OR($E83="",$F83=""),"",IF($I83="Either date",IF(OR(AND(M$15&lt;=$E83,M$15+6&gt;=$E83),AND(M$15&lt;=$F83,M$15+6&gt;=$F83)),3,""),IF(AND(M$15&lt;=$F83,M$15+6&gt;=$E83),IF($I83="Milestone",IF(AND(OR($D83="Complete",$D83="Submitted"),$F83&gt;Sources!$C$5),"T",2),IF(AND(OR($D83="Complete",$D83="Submitted"),M$15&gt;Sources!$C$5),4,1)),"")))</x:f>
      </x:c>
      <x:c r="N83" s="35" t="str">
        <x:f>IF(OR($E83="",$F83=""),"",IF($I83="Either date",IF(OR(AND(N$15&lt;=$E83,N$15+6&gt;=$E83),AND(N$15&lt;=$F83,N$15+6&gt;=$F83)),3,""),IF(AND(N$15&lt;=$F83,N$15+6&gt;=$E83),IF($I83="Milestone",IF(AND(OR($D83="Complete",$D83="Submitted"),$F83&gt;Sources!$C$5),"T",2),IF(AND(OR($D83="Complete",$D83="Submitted"),N$15&gt;Sources!$C$5),4,1)),"")))</x:f>
      </x:c>
      <x:c r="O83" s="35" t="str">
        <x:f>IF(OR($E83="",$F83=""),"",IF($I83="Either date",IF(OR(AND(O$15&lt;=$E83,O$15+6&gt;=$E83),AND(O$15&lt;=$F83,O$15+6&gt;=$F83)),3,""),IF(AND(O$15&lt;=$F83,O$15+6&gt;=$E83),IF($I83="Milestone",IF(AND(OR($D83="Complete",$D83="Submitted"),$F83&gt;Sources!$C$5),"T",2),IF(AND(OR($D83="Complete",$D83="Submitted"),O$15&gt;Sources!$C$5),4,1)),"")))</x:f>
      </x:c>
      <x:c r="P83" s="35" t="str">
        <x:f>IF(OR($E83="",$F83=""),"",IF($I83="Either date",IF(OR(AND(P$15&lt;=$E83,P$15+6&gt;=$E83),AND(P$15&lt;=$F83,P$15+6&gt;=$F83)),3,""),IF(AND(P$15&lt;=$F83,P$15+6&gt;=$E83),IF($I83="Milestone",IF(AND(OR($D83="Complete",$D83="Submitted"),$F83&gt;Sources!$C$5),"T",2),IF(AND(OR($D83="Complete",$D83="Submitted"),P$15&gt;Sources!$C$5),4,1)),"")))</x:f>
      </x:c>
      <x:c r="Q83" s="35" t="str">
        <x:f>IF(OR($E83="",$F83=""),"",IF($I83="Either date",IF(OR(AND(Q$15&lt;=$E83,Q$15+6&gt;=$E83),AND(Q$15&lt;=$F83,Q$15+6&gt;=$F83)),3,""),IF(AND(Q$15&lt;=$F83,Q$15+6&gt;=$E83),IF($I83="Milestone",IF(AND(OR($D83="Complete",$D83="Submitted"),$F83&gt;Sources!$C$5),"T",2),IF(AND(OR($D83="Complete",$D83="Submitted"),Q$15&gt;Sources!$C$5),4,1)),"")))</x:f>
      </x:c>
      <x:c r="R83" s="35" t="str">
        <x:f>IF(OR($E83="",$F83=""),"",IF($I83="Either date",IF(OR(AND(R$15&lt;=$E83,R$15+6&gt;=$E83),AND(R$15&lt;=$F83,R$15+6&gt;=$F83)),3,""),IF(AND(R$15&lt;=$F83,R$15+6&gt;=$E83),IF($I83="Milestone",IF(AND(OR($D83="Complete",$D83="Submitted"),$F83&gt;Sources!$C$5),"T",2),IF(AND(OR($D83="Complete",$D83="Submitted"),R$15&gt;Sources!$C$5),4,1)),"")))</x:f>
      </x:c>
      <x:c r="S83" s="35" t="str">
        <x:f>IF(OR($E83="",$F83=""),"",IF($I83="Either date",IF(OR(AND(S$15&lt;=$E83,S$15+6&gt;=$E83),AND(S$15&lt;=$F83,S$15+6&gt;=$F83)),3,""),IF(AND(S$15&lt;=$F83,S$15+6&gt;=$E83),IF($I83="Milestone",IF(AND(OR($D83="Complete",$D83="Submitted"),$F83&gt;Sources!$C$5),"T",2),IF(AND(OR($D83="Complete",$D83="Submitted"),S$15&gt;Sources!$C$5),4,1)),"")))</x:f>
      </x:c>
      <x:c r="T83" s="35" t="str">
        <x:f>IF(OR($E83="",$F83=""),"",IF($I83="Either date",IF(OR(AND(T$15&lt;=$E83,T$15+6&gt;=$E83),AND(T$15&lt;=$F83,T$15+6&gt;=$F83)),3,""),IF(AND(T$15&lt;=$F83,T$15+6&gt;=$E83),IF($I83="Milestone",IF(AND(OR($D83="Complete",$D83="Submitted"),$F83&gt;Sources!$C$5),"T",2),IF(AND(OR($D83="Complete",$D83="Submitted"),T$15&gt;Sources!$C$5),4,1)),"")))</x:f>
      </x:c>
      <x:c r="U83" s="2"/>
      <x:c r="V83" s="2" t="str"/>
      <x:c r="W83" s="18" t="str">
        <x:v>Course milestone</x:v>
      </x:c>
      <x:c r="X83" s="18" t="str">
        <x:v>Submitted Gantt</x:v>
      </x:c>
    </x:row>
    <x:row r="84" ht="38" customHeight="1">
      <x:c r="A84" s="36" t="str">
        <x:v>C6</x:v>
      </x:c>
      <x:c r="B84" s="37" t="str">
        <x:v>Verification and Validation Plan</x:v>
      </x:c>
      <x:c r="C84" s="37" t="str">
        <x:v>All four</x:v>
      </x:c>
      <x:c r="D84" s="36" t="str">
        <x:v>Complete</x:v>
      </x:c>
      <x:c r="E84" s="38" t="d">
        <x:v>2026-10-12T00:00:00.000Z</x:v>
      </x:c>
      <x:c r="F84" s="38" t="d">
        <x:v>2026-10-12T00:00:00.000Z</x:v>
      </x:c>
      <x:c r="G84" s="36" t="n">
        <x:f>IF(OR(E84="",F84="",I84="Either date"),"",IF(F84&lt;E84,"Review",F84-E84+1))</x:f>
        <x:v>1</x:v>
      </x:c>
      <x:c r="H84" s="37" t="str">
        <x:v>R5</x:v>
      </x:c>
      <x:c r="I84" s="37" t="str">
        <x:v>Milestone</x:v>
      </x:c>
      <x:c r="J84" s="35" t="str">
        <x:f>IF(OR($E84="",$F84=""),"",IF($I84="Either date",IF(OR(AND(J$15&lt;=$E84,J$15+6&gt;=$E84),AND(J$15&lt;=$F84,J$15+6&gt;=$F84)),3,""),IF(AND(J$15&lt;=$F84,J$15+6&gt;=$E84),IF($I84="Milestone",IF(AND(OR($D84="Complete",$D84="Submitted"),$F84&gt;Sources!$C$5),"T",2),IF(AND(OR($D84="Complete",$D84="Submitted"),J$15&gt;Sources!$C$5),4,1)),"")))</x:f>
      </x:c>
      <x:c r="K84" s="35" t="str">
        <x:f>IF(OR($E84="",$F84=""),"",IF($I84="Either date",IF(OR(AND(K$15&lt;=$E84,K$15+6&gt;=$E84),AND(K$15&lt;=$F84,K$15+6&gt;=$F84)),3,""),IF(AND(K$15&lt;=$F84,K$15+6&gt;=$E84),IF($I84="Milestone",IF(AND(OR($D84="Complete",$D84="Submitted"),$F84&gt;Sources!$C$5),"T",2),IF(AND(OR($D84="Complete",$D84="Submitted"),K$15&gt;Sources!$C$5),4,1)),"")))</x:f>
      </x:c>
      <x:c r="L84" s="35" t="n">
        <x:f>IF(OR($E84="",$F84=""),"",IF($I84="Either date",IF(OR(AND(L$15&lt;=$E84,L$15+6&gt;=$E84),AND(L$15&lt;=$F84,L$15+6&gt;=$F84)),3,""),IF(AND(L$15&lt;=$F84,L$15+6&gt;=$E84),IF($I84="Milestone",IF(AND(OR($D84="Complete",$D84="Submitted"),$F84&gt;Sources!$C$5),"T",2),IF(AND(OR($D84="Complete",$D84="Submitted"),L$15&gt;Sources!$C$5),4,1)),"")))</x:f>
        <x:v>2</x:v>
      </x:c>
      <x:c r="M84" s="35" t="str">
        <x:f>IF(OR($E84="",$F84=""),"",IF($I84="Either date",IF(OR(AND(M$15&lt;=$E84,M$15+6&gt;=$E84),AND(M$15&lt;=$F84,M$15+6&gt;=$F84)),3,""),IF(AND(M$15&lt;=$F84,M$15+6&gt;=$E84),IF($I84="Milestone",IF(AND(OR($D84="Complete",$D84="Submitted"),$F84&gt;Sources!$C$5),"T",2),IF(AND(OR($D84="Complete",$D84="Submitted"),M$15&gt;Sources!$C$5),4,1)),"")))</x:f>
      </x:c>
      <x:c r="N84" s="35" t="str">
        <x:f>IF(OR($E84="",$F84=""),"",IF($I84="Either date",IF(OR(AND(N$15&lt;=$E84,N$15+6&gt;=$E84),AND(N$15&lt;=$F84,N$15+6&gt;=$F84)),3,""),IF(AND(N$15&lt;=$F84,N$15+6&gt;=$E84),IF($I84="Milestone",IF(AND(OR($D84="Complete",$D84="Submitted"),$F84&gt;Sources!$C$5),"T",2),IF(AND(OR($D84="Complete",$D84="Submitted"),N$15&gt;Sources!$C$5),4,1)),"")))</x:f>
      </x:c>
      <x:c r="O84" s="35" t="str">
        <x:f>IF(OR($E84="",$F84=""),"",IF($I84="Either date",IF(OR(AND(O$15&lt;=$E84,O$15+6&gt;=$E84),AND(O$15&lt;=$F84,O$15+6&gt;=$F84)),3,""),IF(AND(O$15&lt;=$F84,O$15+6&gt;=$E84),IF($I84="Milestone",IF(AND(OR($D84="Complete",$D84="Submitted"),$F84&gt;Sources!$C$5),"T",2),IF(AND(OR($D84="Complete",$D84="Submitted"),O$15&gt;Sources!$C$5),4,1)),"")))</x:f>
      </x:c>
      <x:c r="P84" s="35" t="str">
        <x:f>IF(OR($E84="",$F84=""),"",IF($I84="Either date",IF(OR(AND(P$15&lt;=$E84,P$15+6&gt;=$E84),AND(P$15&lt;=$F84,P$15+6&gt;=$F84)),3,""),IF(AND(P$15&lt;=$F84,P$15+6&gt;=$E84),IF($I84="Milestone",IF(AND(OR($D84="Complete",$D84="Submitted"),$F84&gt;Sources!$C$5),"T",2),IF(AND(OR($D84="Complete",$D84="Submitted"),P$15&gt;Sources!$C$5),4,1)),"")))</x:f>
      </x:c>
      <x:c r="Q84" s="35" t="str">
        <x:f>IF(OR($E84="",$F84=""),"",IF($I84="Either date",IF(OR(AND(Q$15&lt;=$E84,Q$15+6&gt;=$E84),AND(Q$15&lt;=$F84,Q$15+6&gt;=$F84)),3,""),IF(AND(Q$15&lt;=$F84,Q$15+6&gt;=$E84),IF($I84="Milestone",IF(AND(OR($D84="Complete",$D84="Submitted"),$F84&gt;Sources!$C$5),"T",2),IF(AND(OR($D84="Complete",$D84="Submitted"),Q$15&gt;Sources!$C$5),4,1)),"")))</x:f>
      </x:c>
      <x:c r="R84" s="35" t="str">
        <x:f>IF(OR($E84="",$F84=""),"",IF($I84="Either date",IF(OR(AND(R$15&lt;=$E84,R$15+6&gt;=$E84),AND(R$15&lt;=$F84,R$15+6&gt;=$F84)),3,""),IF(AND(R$15&lt;=$F84,R$15+6&gt;=$E84),IF($I84="Milestone",IF(AND(OR($D84="Complete",$D84="Submitted"),$F84&gt;Sources!$C$5),"T",2),IF(AND(OR($D84="Complete",$D84="Submitted"),R$15&gt;Sources!$C$5),4,1)),"")))</x:f>
      </x:c>
      <x:c r="S84" s="35" t="str">
        <x:f>IF(OR($E84="",$F84=""),"",IF($I84="Either date",IF(OR(AND(S$15&lt;=$E84,S$15+6&gt;=$E84),AND(S$15&lt;=$F84,S$15+6&gt;=$F84)),3,""),IF(AND(S$15&lt;=$F84,S$15+6&gt;=$E84),IF($I84="Milestone",IF(AND(OR($D84="Complete",$D84="Submitted"),$F84&gt;Sources!$C$5),"T",2),IF(AND(OR($D84="Complete",$D84="Submitted"),S$15&gt;Sources!$C$5),4,1)),"")))</x:f>
      </x:c>
      <x:c r="T84" s="35" t="str">
        <x:f>IF(OR($E84="",$F84=""),"",IF($I84="Either date",IF(OR(AND(T$15&lt;=$E84,T$15+6&gt;=$E84),AND(T$15&lt;=$F84,T$15+6&gt;=$F84)),3,""),IF(AND(T$15&lt;=$F84,T$15+6&gt;=$E84),IF($I84="Milestone",IF(AND(OR($D84="Complete",$D84="Submitted"),$F84&gt;Sources!$C$5),"T",2),IF(AND(OR($D84="Complete",$D84="Submitted"),T$15&gt;Sources!$C$5),4,1)),"")))</x:f>
      </x:c>
      <x:c r="U84" s="2"/>
      <x:c r="V84" s="2" t="str"/>
      <x:c r="W84" s="18" t="str">
        <x:v>Course milestone</x:v>
      </x:c>
      <x:c r="X84" s="18" t="str">
        <x:v>Submitted Gantt</x:v>
      </x:c>
    </x:row>
    <x:row r="85" ht="38" customHeight="1">
      <x:c r="A85" s="2" t="str">
        <x:v>C7</x:v>
      </x:c>
      <x:c r="B85" s="18" t="str">
        <x:v>Week 8 Team Progress Check-in: Prototype 3</x:v>
      </x:c>
      <x:c r="C85" s="18" t="str">
        <x:v>All four</x:v>
      </x:c>
      <x:c r="D85" s="2" t="str">
        <x:v>Complete</x:v>
      </x:c>
      <x:c r="E85" s="15" t="d">
        <x:v>2026-10-16T00:00:00.000Z</x:v>
      </x:c>
      <x:c r="F85" s="15" t="d">
        <x:v>2026-10-16T00:00:00.000Z</x:v>
      </x:c>
      <x:c r="G85" s="2" t="n">
        <x:f>IF(OR(E85="",F85="",I85="Either date"),"",IF(F85&lt;E85,"Review",F85-E85+1))</x:f>
        <x:v>1</x:v>
      </x:c>
      <x:c r="H85" s="18" t="str">
        <x:v>Prototype 3 progress</x:v>
      </x:c>
      <x:c r="I85" s="18" t="str">
        <x:v>Milestone</x:v>
      </x:c>
      <x:c r="J85" s="35" t="str">
        <x:f>IF(OR($E85="",$F85=""),"",IF($I85="Either date",IF(OR(AND(J$15&lt;=$E85,J$15+6&gt;=$E85),AND(J$15&lt;=$F85,J$15+6&gt;=$F85)),3,""),IF(AND(J$15&lt;=$F85,J$15+6&gt;=$E85),IF($I85="Milestone",IF(AND(OR($D85="Complete",$D85="Submitted"),$F85&gt;Sources!$C$5),"T",2),IF(AND(OR($D85="Complete",$D85="Submitted"),J$15&gt;Sources!$C$5),4,1)),"")))</x:f>
      </x:c>
      <x:c r="K85" s="35" t="str">
        <x:f>IF(OR($E85="",$F85=""),"",IF($I85="Either date",IF(OR(AND(K$15&lt;=$E85,K$15+6&gt;=$E85),AND(K$15&lt;=$F85,K$15+6&gt;=$F85)),3,""),IF(AND(K$15&lt;=$F85,K$15+6&gt;=$E85),IF($I85="Milestone",IF(AND(OR($D85="Complete",$D85="Submitted"),$F85&gt;Sources!$C$5),"T",2),IF(AND(OR($D85="Complete",$D85="Submitted"),K$15&gt;Sources!$C$5),4,1)),"")))</x:f>
      </x:c>
      <x:c r="L85" s="35" t="n">
        <x:f>IF(OR($E85="",$F85=""),"",IF($I85="Either date",IF(OR(AND(L$15&lt;=$E85,L$15+6&gt;=$E85),AND(L$15&lt;=$F85,L$15+6&gt;=$F85)),3,""),IF(AND(L$15&lt;=$F85,L$15+6&gt;=$E85),IF($I85="Milestone",IF(AND(OR($D85="Complete",$D85="Submitted"),$F85&gt;Sources!$C$5),"T",2),IF(AND(OR($D85="Complete",$D85="Submitted"),L$15&gt;Sources!$C$5),4,1)),"")))</x:f>
        <x:v>2</x:v>
      </x:c>
      <x:c r="M85" s="35" t="str">
        <x:f>IF(OR($E85="",$F85=""),"",IF($I85="Either date",IF(OR(AND(M$15&lt;=$E85,M$15+6&gt;=$E85),AND(M$15&lt;=$F85,M$15+6&gt;=$F85)),3,""),IF(AND(M$15&lt;=$F85,M$15+6&gt;=$E85),IF($I85="Milestone",IF(AND(OR($D85="Complete",$D85="Submitted"),$F85&gt;Sources!$C$5),"T",2),IF(AND(OR($D85="Complete",$D85="Submitted"),M$15&gt;Sources!$C$5),4,1)),"")))</x:f>
      </x:c>
      <x:c r="N85" s="35" t="str">
        <x:f>IF(OR($E85="",$F85=""),"",IF($I85="Either date",IF(OR(AND(N$15&lt;=$E85,N$15+6&gt;=$E85),AND(N$15&lt;=$F85,N$15+6&gt;=$F85)),3,""),IF(AND(N$15&lt;=$F85,N$15+6&gt;=$E85),IF($I85="Milestone",IF(AND(OR($D85="Complete",$D85="Submitted"),$F85&gt;Sources!$C$5),"T",2),IF(AND(OR($D85="Complete",$D85="Submitted"),N$15&gt;Sources!$C$5),4,1)),"")))</x:f>
      </x:c>
      <x:c r="O85" s="35" t="str">
        <x:f>IF(OR($E85="",$F85=""),"",IF($I85="Either date",IF(OR(AND(O$15&lt;=$E85,O$15+6&gt;=$E85),AND(O$15&lt;=$F85,O$15+6&gt;=$F85)),3,""),IF(AND(O$15&lt;=$F85,O$15+6&gt;=$E85),IF($I85="Milestone",IF(AND(OR($D85="Complete",$D85="Submitted"),$F85&gt;Sources!$C$5),"T",2),IF(AND(OR($D85="Complete",$D85="Submitted"),O$15&gt;Sources!$C$5),4,1)),"")))</x:f>
      </x:c>
      <x:c r="P85" s="35" t="str">
        <x:f>IF(OR($E85="",$F85=""),"",IF($I85="Either date",IF(OR(AND(P$15&lt;=$E85,P$15+6&gt;=$E85),AND(P$15&lt;=$F85,P$15+6&gt;=$F85)),3,""),IF(AND(P$15&lt;=$F85,P$15+6&gt;=$E85),IF($I85="Milestone",IF(AND(OR($D85="Complete",$D85="Submitted"),$F85&gt;Sources!$C$5),"T",2),IF(AND(OR($D85="Complete",$D85="Submitted"),P$15&gt;Sources!$C$5),4,1)),"")))</x:f>
      </x:c>
      <x:c r="Q85" s="35" t="str">
        <x:f>IF(OR($E85="",$F85=""),"",IF($I85="Either date",IF(OR(AND(Q$15&lt;=$E85,Q$15+6&gt;=$E85),AND(Q$15&lt;=$F85,Q$15+6&gt;=$F85)),3,""),IF(AND(Q$15&lt;=$F85,Q$15+6&gt;=$E85),IF($I85="Milestone",IF(AND(OR($D85="Complete",$D85="Submitted"),$F85&gt;Sources!$C$5),"T",2),IF(AND(OR($D85="Complete",$D85="Submitted"),Q$15&gt;Sources!$C$5),4,1)),"")))</x:f>
      </x:c>
      <x:c r="R85" s="35" t="str">
        <x:f>IF(OR($E85="",$F85=""),"",IF($I85="Either date",IF(OR(AND(R$15&lt;=$E85,R$15+6&gt;=$E85),AND(R$15&lt;=$F85,R$15+6&gt;=$F85)),3,""),IF(AND(R$15&lt;=$F85,R$15+6&gt;=$E85),IF($I85="Milestone",IF(AND(OR($D85="Complete",$D85="Submitted"),$F85&gt;Sources!$C$5),"T",2),IF(AND(OR($D85="Complete",$D85="Submitted"),R$15&gt;Sources!$C$5),4,1)),"")))</x:f>
      </x:c>
      <x:c r="S85" s="35" t="str">
        <x:f>IF(OR($E85="",$F85=""),"",IF($I85="Either date",IF(OR(AND(S$15&lt;=$E85,S$15+6&gt;=$E85),AND(S$15&lt;=$F85,S$15+6&gt;=$F85)),3,""),IF(AND(S$15&lt;=$F85,S$15+6&gt;=$E85),IF($I85="Milestone",IF(AND(OR($D85="Complete",$D85="Submitted"),$F85&gt;Sources!$C$5),"T",2),IF(AND(OR($D85="Complete",$D85="Submitted"),S$15&gt;Sources!$C$5),4,1)),"")))</x:f>
      </x:c>
      <x:c r="T85" s="35" t="str">
        <x:f>IF(OR($E85="",$F85=""),"",IF($I85="Either date",IF(OR(AND(T$15&lt;=$E85,T$15+6&gt;=$E85),AND(T$15&lt;=$F85,T$15+6&gt;=$F85)),3,""),IF(AND(T$15&lt;=$F85,T$15+6&gt;=$E85),IF($I85="Milestone",IF(AND(OR($D85="Complete",$D85="Submitted"),$F85&gt;Sources!$C$5),"T",2),IF(AND(OR($D85="Complete",$D85="Submitted"),T$15&gt;Sources!$C$5),4,1)),"")))</x:f>
      </x:c>
      <x:c r="U85" s="2"/>
      <x:c r="V85" s="2" t="str">
        <x:v>Progress reported while prototype work remained underway.</x:v>
      </x:c>
      <x:c r="W85" s="18" t="str">
        <x:v>Course milestone</x:v>
      </x:c>
      <x:c r="X85" s="18" t="str">
        <x:v>Submitted Gantt</x:v>
      </x:c>
    </x:row>
    <x:row r="86" ht="38" customHeight="1">
      <x:c r="A86" s="36" t="str">
        <x:v>C8</x:v>
      </x:c>
      <x:c r="B86" s="37" t="str">
        <x:v>Week 8 project log</x:v>
      </x:c>
      <x:c r="C86" s="37" t="str">
        <x:v>All four</x:v>
      </x:c>
      <x:c r="D86" s="36" t="str">
        <x:v>Complete</x:v>
      </x:c>
      <x:c r="E86" s="38" t="d">
        <x:v>2026-10-16T00:00:00.000Z</x:v>
      </x:c>
      <x:c r="F86" s="38" t="d">
        <x:v>2026-10-16T00:00:00.000Z</x:v>
      </x:c>
      <x:c r="G86" s="36" t="n">
        <x:f>IF(OR(E86="",F86="",I86="Either date"),"",IF(F86&lt;E86,"Review",F86-E86+1))</x:f>
        <x:v>1</x:v>
      </x:c>
      <x:c r="H86" s="37" t="str">
        <x:v>L8</x:v>
      </x:c>
      <x:c r="I86" s="37" t="str">
        <x:v>Milestone</x:v>
      </x:c>
      <x:c r="J86" s="35" t="str">
        <x:f>IF(OR($E86="",$F86=""),"",IF($I86="Either date",IF(OR(AND(J$15&lt;=$E86,J$15+6&gt;=$E86),AND(J$15&lt;=$F86,J$15+6&gt;=$F86)),3,""),IF(AND(J$15&lt;=$F86,J$15+6&gt;=$E86),IF($I86="Milestone",IF(AND(OR($D86="Complete",$D86="Submitted"),$F86&gt;Sources!$C$5),"T",2),IF(AND(OR($D86="Complete",$D86="Submitted"),J$15&gt;Sources!$C$5),4,1)),"")))</x:f>
      </x:c>
      <x:c r="K86" s="35" t="str">
        <x:f>IF(OR($E86="",$F86=""),"",IF($I86="Either date",IF(OR(AND(K$15&lt;=$E86,K$15+6&gt;=$E86),AND(K$15&lt;=$F86,K$15+6&gt;=$F86)),3,""),IF(AND(K$15&lt;=$F86,K$15+6&gt;=$E86),IF($I86="Milestone",IF(AND(OR($D86="Complete",$D86="Submitted"),$F86&gt;Sources!$C$5),"T",2),IF(AND(OR($D86="Complete",$D86="Submitted"),K$15&gt;Sources!$C$5),4,1)),"")))</x:f>
      </x:c>
      <x:c r="L86" s="35" t="n">
        <x:f>IF(OR($E86="",$F86=""),"",IF($I86="Either date",IF(OR(AND(L$15&lt;=$E86,L$15+6&gt;=$E86),AND(L$15&lt;=$F86,L$15+6&gt;=$F86)),3,""),IF(AND(L$15&lt;=$F86,L$15+6&gt;=$E86),IF($I86="Milestone",IF(AND(OR($D86="Complete",$D86="Submitted"),$F86&gt;Sources!$C$5),"T",2),IF(AND(OR($D86="Complete",$D86="Submitted"),L$15&gt;Sources!$C$5),4,1)),"")))</x:f>
        <x:v>2</x:v>
      </x:c>
      <x:c r="M86" s="35" t="str">
        <x:f>IF(OR($E86="",$F86=""),"",IF($I86="Either date",IF(OR(AND(M$15&lt;=$E86,M$15+6&gt;=$E86),AND(M$15&lt;=$F86,M$15+6&gt;=$F86)),3,""),IF(AND(M$15&lt;=$F86,M$15+6&gt;=$E86),IF($I86="Milestone",IF(AND(OR($D86="Complete",$D86="Submitted"),$F86&gt;Sources!$C$5),"T",2),IF(AND(OR($D86="Complete",$D86="Submitted"),M$15&gt;Sources!$C$5),4,1)),"")))</x:f>
      </x:c>
      <x:c r="N86" s="35" t="str">
        <x:f>IF(OR($E86="",$F86=""),"",IF($I86="Either date",IF(OR(AND(N$15&lt;=$E86,N$15+6&gt;=$E86),AND(N$15&lt;=$F86,N$15+6&gt;=$F86)),3,""),IF(AND(N$15&lt;=$F86,N$15+6&gt;=$E86),IF($I86="Milestone",IF(AND(OR($D86="Complete",$D86="Submitted"),$F86&gt;Sources!$C$5),"T",2),IF(AND(OR($D86="Complete",$D86="Submitted"),N$15&gt;Sources!$C$5),4,1)),"")))</x:f>
      </x:c>
      <x:c r="O86" s="35" t="str">
        <x:f>IF(OR($E86="",$F86=""),"",IF($I86="Either date",IF(OR(AND(O$15&lt;=$E86,O$15+6&gt;=$E86),AND(O$15&lt;=$F86,O$15+6&gt;=$F86)),3,""),IF(AND(O$15&lt;=$F86,O$15+6&gt;=$E86),IF($I86="Milestone",IF(AND(OR($D86="Complete",$D86="Submitted"),$F86&gt;Sources!$C$5),"T",2),IF(AND(OR($D86="Complete",$D86="Submitted"),O$15&gt;Sources!$C$5),4,1)),"")))</x:f>
      </x:c>
      <x:c r="P86" s="35" t="str">
        <x:f>IF(OR($E86="",$F86=""),"",IF($I86="Either date",IF(OR(AND(P$15&lt;=$E86,P$15+6&gt;=$E86),AND(P$15&lt;=$F86,P$15+6&gt;=$F86)),3,""),IF(AND(P$15&lt;=$F86,P$15+6&gt;=$E86),IF($I86="Milestone",IF(AND(OR($D86="Complete",$D86="Submitted"),$F86&gt;Sources!$C$5),"T",2),IF(AND(OR($D86="Complete",$D86="Submitted"),P$15&gt;Sources!$C$5),4,1)),"")))</x:f>
      </x:c>
      <x:c r="Q86" s="35" t="str">
        <x:f>IF(OR($E86="",$F86=""),"",IF($I86="Either date",IF(OR(AND(Q$15&lt;=$E86,Q$15+6&gt;=$E86),AND(Q$15&lt;=$F86,Q$15+6&gt;=$F86)),3,""),IF(AND(Q$15&lt;=$F86,Q$15+6&gt;=$E86),IF($I86="Milestone",IF(AND(OR($D86="Complete",$D86="Submitted"),$F86&gt;Sources!$C$5),"T",2),IF(AND(OR($D86="Complete",$D86="Submitted"),Q$15&gt;Sources!$C$5),4,1)),"")))</x:f>
      </x:c>
      <x:c r="R86" s="35" t="str">
        <x:f>IF(OR($E86="",$F86=""),"",IF($I86="Either date",IF(OR(AND(R$15&lt;=$E86,R$15+6&gt;=$E86),AND(R$15&lt;=$F86,R$15+6&gt;=$F86)),3,""),IF(AND(R$15&lt;=$F86,R$15+6&gt;=$E86),IF($I86="Milestone",IF(AND(OR($D86="Complete",$D86="Submitted"),$F86&gt;Sources!$C$5),"T",2),IF(AND(OR($D86="Complete",$D86="Submitted"),R$15&gt;Sources!$C$5),4,1)),"")))</x:f>
      </x:c>
      <x:c r="S86" s="35" t="str">
        <x:f>IF(OR($E86="",$F86=""),"",IF($I86="Either date",IF(OR(AND(S$15&lt;=$E86,S$15+6&gt;=$E86),AND(S$15&lt;=$F86,S$15+6&gt;=$F86)),3,""),IF(AND(S$15&lt;=$F86,S$15+6&gt;=$E86),IF($I86="Milestone",IF(AND(OR($D86="Complete",$D86="Submitted"),$F86&gt;Sources!$C$5),"T",2),IF(AND(OR($D86="Complete",$D86="Submitted"),S$15&gt;Sources!$C$5),4,1)),"")))</x:f>
      </x:c>
      <x:c r="T86" s="35" t="str">
        <x:f>IF(OR($E86="",$F86=""),"",IF($I86="Either date",IF(OR(AND(T$15&lt;=$E86,T$15+6&gt;=$E86),AND(T$15&lt;=$F86,T$15+6&gt;=$F86)),3,""),IF(AND(T$15&lt;=$F86,T$15+6&gt;=$E86),IF($I86="Milestone",IF(AND(OR($D86="Complete",$D86="Submitted"),$F86&gt;Sources!$C$5),"T",2),IF(AND(OR($D86="Complete",$D86="Submitted"),T$15&gt;Sources!$C$5),4,1)),"")))</x:f>
      </x:c>
      <x:c r="U86" s="2"/>
      <x:c r="V86" s="2" t="str"/>
      <x:c r="W86" s="18" t="str">
        <x:v>Course milestone</x:v>
      </x:c>
      <x:c r="X86" s="18" t="str">
        <x:v>Submitted Gantt</x:v>
      </x:c>
    </x:row>
    <x:row r="87" ht="38" customHeight="1">
      <x:c r="A87" s="2" t="str">
        <x:v>C12</x:v>
      </x:c>
      <x:c r="B87" s="18" t="str">
        <x:v>Week 9 project log</x:v>
      </x:c>
      <x:c r="C87" s="18" t="str">
        <x:v>All four</x:v>
      </x:c>
      <x:c r="D87" s="2" t="str">
        <x:v>Prepared</x:v>
      </x:c>
      <x:c r="E87" s="15" t="d">
        <x:v>2026-10-23T00:00:00.000Z</x:v>
      </x:c>
      <x:c r="F87" s="15" t="d">
        <x:v>2026-10-23T00:00:00.000Z</x:v>
      </x:c>
      <x:c r="G87" s="2" t="n">
        <x:f>IF(OR(E87="",F87="",I87="Either date"),"",IF(F87&lt;E87,"Review",F87-E87+1))</x:f>
        <x:v>1</x:v>
      </x:c>
      <x:c r="H87" s="18" t="str">
        <x:v>L9</x:v>
      </x:c>
      <x:c r="I87" s="18" t="str">
        <x:v>Milestone</x:v>
      </x:c>
      <x:c r="J87" s="35" t="str">
        <x:f>IF(OR($E87="",$F87=""),"",IF($I87="Either date",IF(OR(AND(J$15&lt;=$E87,J$15+6&gt;=$E87),AND(J$15&lt;=$F87,J$15+6&gt;=$F87)),3,""),IF(AND(J$15&lt;=$F87,J$15+6&gt;=$E87),IF($I87="Milestone",IF(AND(OR($D87="Complete",$D87="Submitted"),$F87&gt;Sources!$C$5),"T",2),IF(AND(OR($D87="Complete",$D87="Submitted"),J$15&gt;Sources!$C$5),4,1)),"")))</x:f>
      </x:c>
      <x:c r="K87" s="35" t="str">
        <x:f>IF(OR($E87="",$F87=""),"",IF($I87="Either date",IF(OR(AND(K$15&lt;=$E87,K$15+6&gt;=$E87),AND(K$15&lt;=$F87,K$15+6&gt;=$F87)),3,""),IF(AND(K$15&lt;=$F87,K$15+6&gt;=$E87),IF($I87="Milestone",IF(AND(OR($D87="Complete",$D87="Submitted"),$F87&gt;Sources!$C$5),"T",2),IF(AND(OR($D87="Complete",$D87="Submitted"),K$15&gt;Sources!$C$5),4,1)),"")))</x:f>
      </x:c>
      <x:c r="L87" s="35" t="str">
        <x:f>IF(OR($E87="",$F87=""),"",IF($I87="Either date",IF(OR(AND(L$15&lt;=$E87,L$15+6&gt;=$E87),AND(L$15&lt;=$F87,L$15+6&gt;=$F87)),3,""),IF(AND(L$15&lt;=$F87,L$15+6&gt;=$E87),IF($I87="Milestone",IF(AND(OR($D87="Complete",$D87="Submitted"),$F87&gt;Sources!$C$5),"T",2),IF(AND(OR($D87="Complete",$D87="Submitted"),L$15&gt;Sources!$C$5),4,1)),"")))</x:f>
      </x:c>
      <x:c r="M87" s="35" t="n">
        <x:f>IF(OR($E87="",$F87=""),"",IF($I87="Either date",IF(OR(AND(M$15&lt;=$E87,M$15+6&gt;=$E87),AND(M$15&lt;=$F87,M$15+6&gt;=$F87)),3,""),IF(AND(M$15&lt;=$F87,M$15+6&gt;=$E87),IF($I87="Milestone",IF(AND(OR($D87="Complete",$D87="Submitted"),$F87&gt;Sources!$C$5),"T",2),IF(AND(OR($D87="Complete",$D87="Submitted"),M$15&gt;Sources!$C$5),4,1)),"")))</x:f>
        <x:v>2</x:v>
      </x:c>
      <x:c r="N87" s="35" t="str">
        <x:f>IF(OR($E87="",$F87=""),"",IF($I87="Either date",IF(OR(AND(N$15&lt;=$E87,N$15+6&gt;=$E87),AND(N$15&lt;=$F87,N$15+6&gt;=$F87)),3,""),IF(AND(N$15&lt;=$F87,N$15+6&gt;=$E87),IF($I87="Milestone",IF(AND(OR($D87="Complete",$D87="Submitted"),$F87&gt;Sources!$C$5),"T",2),IF(AND(OR($D87="Complete",$D87="Submitted"),N$15&gt;Sources!$C$5),4,1)),"")))</x:f>
      </x:c>
      <x:c r="O87" s="35" t="str">
        <x:f>IF(OR($E87="",$F87=""),"",IF($I87="Either date",IF(OR(AND(O$15&lt;=$E87,O$15+6&gt;=$E87),AND(O$15&lt;=$F87,O$15+6&gt;=$F87)),3,""),IF(AND(O$15&lt;=$F87,O$15+6&gt;=$E87),IF($I87="Milestone",IF(AND(OR($D87="Complete",$D87="Submitted"),$F87&gt;Sources!$C$5),"T",2),IF(AND(OR($D87="Complete",$D87="Submitted"),O$15&gt;Sources!$C$5),4,1)),"")))</x:f>
      </x:c>
      <x:c r="P87" s="35" t="str">
        <x:f>IF(OR($E87="",$F87=""),"",IF($I87="Either date",IF(OR(AND(P$15&lt;=$E87,P$15+6&gt;=$E87),AND(P$15&lt;=$F87,P$15+6&gt;=$F87)),3,""),IF(AND(P$15&lt;=$F87,P$15+6&gt;=$E87),IF($I87="Milestone",IF(AND(OR($D87="Complete",$D87="Submitted"),$F87&gt;Sources!$C$5),"T",2),IF(AND(OR($D87="Complete",$D87="Submitted"),P$15&gt;Sources!$C$5),4,1)),"")))</x:f>
      </x:c>
      <x:c r="Q87" s="35" t="str">
        <x:f>IF(OR($E87="",$F87=""),"",IF($I87="Either date",IF(OR(AND(Q$15&lt;=$E87,Q$15+6&gt;=$E87),AND(Q$15&lt;=$F87,Q$15+6&gt;=$F87)),3,""),IF(AND(Q$15&lt;=$F87,Q$15+6&gt;=$E87),IF($I87="Milestone",IF(AND(OR($D87="Complete",$D87="Submitted"),$F87&gt;Sources!$C$5),"T",2),IF(AND(OR($D87="Complete",$D87="Submitted"),Q$15&gt;Sources!$C$5),4,1)),"")))</x:f>
      </x:c>
      <x:c r="R87" s="35" t="str">
        <x:f>IF(OR($E87="",$F87=""),"",IF($I87="Either date",IF(OR(AND(R$15&lt;=$E87,R$15+6&gt;=$E87),AND(R$15&lt;=$F87,R$15+6&gt;=$F87)),3,""),IF(AND(R$15&lt;=$F87,R$15+6&gt;=$E87),IF($I87="Milestone",IF(AND(OR($D87="Complete",$D87="Submitted"),$F87&gt;Sources!$C$5),"T",2),IF(AND(OR($D87="Complete",$D87="Submitted"),R$15&gt;Sources!$C$5),4,1)),"")))</x:f>
      </x:c>
      <x:c r="S87" s="35" t="str">
        <x:f>IF(OR($E87="",$F87=""),"",IF($I87="Either date",IF(OR(AND(S$15&lt;=$E87,S$15+6&gt;=$E87),AND(S$15&lt;=$F87,S$15+6&gt;=$F87)),3,""),IF(AND(S$15&lt;=$F87,S$15+6&gt;=$E87),IF($I87="Milestone",IF(AND(OR($D87="Complete",$D87="Submitted"),$F87&gt;Sources!$C$5),"T",2),IF(AND(OR($D87="Complete",$D87="Submitted"),S$15&gt;Sources!$C$5),4,1)),"")))</x:f>
      </x:c>
      <x:c r="T87" s="35" t="str">
        <x:f>IF(OR($E87="",$F87=""),"",IF($I87="Either date",IF(OR(AND(T$15&lt;=$E87,T$15+6&gt;=$E87),AND(T$15&lt;=$F87,T$15+6&gt;=$F87)),3,""),IF(AND(T$15&lt;=$F87,T$15+6&gt;=$E87),IF($I87="Milestone",IF(AND(OR($D87="Complete",$D87="Submitted"),$F87&gt;Sources!$C$5),"T",2),IF(AND(OR($D87="Complete",$D87="Submitted"),T$15&gt;Sources!$C$5),4,1)),"")))</x:f>
      </x:c>
      <x:c r="U87" s="2"/>
      <x:c r="V87" s="2" t="str"/>
      <x:c r="W87" s="18" t="str">
        <x:v>Course milestone</x:v>
      </x:c>
      <x:c r="X87" s="18" t="str">
        <x:v>Submitted Gantt</x:v>
      </x:c>
    </x:row>
    <x:row r="88" ht="38" customHeight="1">
      <x:c r="A88" s="36" t="str">
        <x:v>C31</x:v>
      </x:c>
      <x:c r="B88" s="37" t="str">
        <x:v>Midterm slides submission</x:v>
      </x:c>
      <x:c r="C88" s="37" t="str">
        <x:v>All four</x:v>
      </x:c>
      <x:c r="D88" s="36" t="str">
        <x:v>Planned</x:v>
      </x:c>
      <x:c r="E88" s="38" t="n">
        <x:f>'Sources'!$C$6</x:f>
        <x:v>46321</x:v>
      </x:c>
      <x:c r="F88" s="38" t="n">
        <x:f>'Sources'!$C$6</x:f>
        <x:v>46321</x:v>
      </x:c>
      <x:c r="G88" s="36" t="n">
        <x:f>IF(OR(E88="",F88="",I88="Either date"),"",IF(F88&lt;E88,"Review",F88-E88+1))</x:f>
        <x:v>1</x:v>
      </x:c>
      <x:c r="H88" s="37" t="str">
        <x:v>P2</x:v>
      </x:c>
      <x:c r="I88" s="37" t="str">
        <x:v>Milestone</x:v>
      </x:c>
      <x:c r="J88" s="35" t="str">
        <x:f>IF(OR($E88="",$F88=""),"",IF($I88="Either date",IF(OR(AND(J$15&lt;=$E88,J$15+6&gt;=$E88),AND(J$15&lt;=$F88,J$15+6&gt;=$F88)),3,""),IF(AND(J$15&lt;=$F88,J$15+6&gt;=$E88),IF($I88="Milestone",IF(AND(OR($D88="Complete",$D88="Submitted"),$F88&gt;Sources!$C$5),"T",2),IF(AND(OR($D88="Complete",$D88="Submitted"),J$15&gt;Sources!$C$5),4,1)),"")))</x:f>
      </x:c>
      <x:c r="K88" s="35" t="str">
        <x:f>IF(OR($E88="",$F88=""),"",IF($I88="Either date",IF(OR(AND(K$15&lt;=$E88,K$15+6&gt;=$E88),AND(K$15&lt;=$F88,K$15+6&gt;=$F88)),3,""),IF(AND(K$15&lt;=$F88,K$15+6&gt;=$E88),IF($I88="Milestone",IF(AND(OR($D88="Complete",$D88="Submitted"),$F88&gt;Sources!$C$5),"T",2),IF(AND(OR($D88="Complete",$D88="Submitted"),K$15&gt;Sources!$C$5),4,1)),"")))</x:f>
      </x:c>
      <x:c r="L88" s="35" t="str">
        <x:f>IF(OR($E88="",$F88=""),"",IF($I88="Either date",IF(OR(AND(L$15&lt;=$E88,L$15+6&gt;=$E88),AND(L$15&lt;=$F88,L$15+6&gt;=$F88)),3,""),IF(AND(L$15&lt;=$F88,L$15+6&gt;=$E88),IF($I88="Milestone",IF(AND(OR($D88="Complete",$D88="Submitted"),$F88&gt;Sources!$C$5),"T",2),IF(AND(OR($D88="Complete",$D88="Submitted"),L$15&gt;Sources!$C$5),4,1)),"")))</x:f>
      </x:c>
      <x:c r="M88" s="35" t="str">
        <x:f>IF(OR($E88="",$F88=""),"",IF($I88="Either date",IF(OR(AND(M$15&lt;=$E88,M$15+6&gt;=$E88),AND(M$15&lt;=$F88,M$15+6&gt;=$F88)),3,""),IF(AND(M$15&lt;=$F88,M$15+6&gt;=$E88),IF($I88="Milestone",IF(AND(OR($D88="Complete",$D88="Submitted"),$F88&gt;Sources!$C$5),"T",2),IF(AND(OR($D88="Complete",$D88="Submitted"),M$15&gt;Sources!$C$5),4,1)),"")))</x:f>
      </x:c>
      <x:c r="N88" s="35" t="n">
        <x:f>IF(OR($E88="",$F88=""),"",IF($I88="Either date",IF(OR(AND(N$15&lt;=$E88,N$15+6&gt;=$E88),AND(N$15&lt;=$F88,N$15+6&gt;=$F88)),3,""),IF(AND(N$15&lt;=$F88,N$15+6&gt;=$E88),IF($I88="Milestone",IF(AND(OR($D88="Complete",$D88="Submitted"),$F88&gt;Sources!$C$5),"T",2),IF(AND(OR($D88="Complete",$D88="Submitted"),N$15&gt;Sources!$C$5),4,1)),"")))</x:f>
        <x:v>2</x:v>
      </x:c>
      <x:c r="O88" s="35" t="str">
        <x:f>IF(OR($E88="",$F88=""),"",IF($I88="Either date",IF(OR(AND(O$15&lt;=$E88,O$15+6&gt;=$E88),AND(O$15&lt;=$F88,O$15+6&gt;=$F88)),3,""),IF(AND(O$15&lt;=$F88,O$15+6&gt;=$E88),IF($I88="Milestone",IF(AND(OR($D88="Complete",$D88="Submitted"),$F88&gt;Sources!$C$5),"T",2),IF(AND(OR($D88="Complete",$D88="Submitted"),O$15&gt;Sources!$C$5),4,1)),"")))</x:f>
      </x:c>
      <x:c r="P88" s="35" t="str">
        <x:f>IF(OR($E88="",$F88=""),"",IF($I88="Either date",IF(OR(AND(P$15&lt;=$E88,P$15+6&gt;=$E88),AND(P$15&lt;=$F88,P$15+6&gt;=$F88)),3,""),IF(AND(P$15&lt;=$F88,P$15+6&gt;=$E88),IF($I88="Milestone",IF(AND(OR($D88="Complete",$D88="Submitted"),$F88&gt;Sources!$C$5),"T",2),IF(AND(OR($D88="Complete",$D88="Submitted"),P$15&gt;Sources!$C$5),4,1)),"")))</x:f>
      </x:c>
      <x:c r="Q88" s="35" t="str">
        <x:f>IF(OR($E88="",$F88=""),"",IF($I88="Either date",IF(OR(AND(Q$15&lt;=$E88,Q$15+6&gt;=$E88),AND(Q$15&lt;=$F88,Q$15+6&gt;=$F88)),3,""),IF(AND(Q$15&lt;=$F88,Q$15+6&gt;=$E88),IF($I88="Milestone",IF(AND(OR($D88="Complete",$D88="Submitted"),$F88&gt;Sources!$C$5),"T",2),IF(AND(OR($D88="Complete",$D88="Submitted"),Q$15&gt;Sources!$C$5),4,1)),"")))</x:f>
      </x:c>
      <x:c r="R88" s="35" t="str">
        <x:f>IF(OR($E88="",$F88=""),"",IF($I88="Either date",IF(OR(AND(R$15&lt;=$E88,R$15+6&gt;=$E88),AND(R$15&lt;=$F88,R$15+6&gt;=$F88)),3,""),IF(AND(R$15&lt;=$F88,R$15+6&gt;=$E88),IF($I88="Milestone",IF(AND(OR($D88="Complete",$D88="Submitted"),$F88&gt;Sources!$C$5),"T",2),IF(AND(OR($D88="Complete",$D88="Submitted"),R$15&gt;Sources!$C$5),4,1)),"")))</x:f>
      </x:c>
      <x:c r="S88" s="35" t="str">
        <x:f>IF(OR($E88="",$F88=""),"",IF($I88="Either date",IF(OR(AND(S$15&lt;=$E88,S$15+6&gt;=$E88),AND(S$15&lt;=$F88,S$15+6&gt;=$F88)),3,""),IF(AND(S$15&lt;=$F88,S$15+6&gt;=$E88),IF($I88="Milestone",IF(AND(OR($D88="Complete",$D88="Submitted"),$F88&gt;Sources!$C$5),"T",2),IF(AND(OR($D88="Complete",$D88="Submitted"),S$15&gt;Sources!$C$5),4,1)),"")))</x:f>
      </x:c>
      <x:c r="T88" s="35" t="str">
        <x:f>IF(OR($E88="",$F88=""),"",IF($I88="Either date",IF(OR(AND(T$15&lt;=$E88,T$15+6&gt;=$E88),AND(T$15&lt;=$F88,T$15+6&gt;=$F88)),3,""),IF(AND(T$15&lt;=$F88,T$15+6&gt;=$E88),IF($I88="Milestone",IF(AND(OR($D88="Complete",$D88="Submitted"),$F88&gt;Sources!$C$5),"T",2),IF(AND(OR($D88="Complete",$D88="Submitted"),T$15&gt;Sources!$C$5),4,1)),"")))</x:f>
      </x:c>
      <x:c r="U88" s="2"/>
      <x:c r="V88" s="2" t="str">
        <x:v>Slide submission and live presentation are separate milestones.</x:v>
      </x:c>
      <x:c r="W88" s="18" t="str">
        <x:v>Course milestone</x:v>
      </x:c>
      <x:c r="X88" s="18" t="str">
        <x:v>Week 9 deadline update</x:v>
      </x:c>
    </x:row>
    <x:row r="89" ht="38" customHeight="1">
      <x:c r="A89" s="2" t="str">
        <x:v>C11</x:v>
      </x:c>
      <x:c r="B89" s="18" t="str">
        <x:v>Prototypes 1, 2, and 3</x:v>
      </x:c>
      <x:c r="C89" s="18" t="str">
        <x:v>All four</x:v>
      </x:c>
      <x:c r="D89" s="2" t="str">
        <x:v>Planned</x:v>
      </x:c>
      <x:c r="E89" s="15" t="n">
        <x:f>'Sources'!$C$6</x:f>
        <x:v>46321</x:v>
      </x:c>
      <x:c r="F89" s="15" t="n">
        <x:f>'Sources'!$C$6</x:f>
        <x:v>46321</x:v>
      </x:c>
      <x:c r="G89" s="2" t="n">
        <x:f>IF(OR(E89="",F89="",I89="Either date"),"",IF(F89&lt;E89,"Review",F89-E89+1))</x:f>
        <x:v>1</x:v>
      </x:c>
      <x:c r="H89" s="18" t="str">
        <x:v>P3</x:v>
      </x:c>
      <x:c r="I89" s="18" t="str">
        <x:v>Milestone</x:v>
      </x:c>
      <x:c r="J89" s="35" t="str">
        <x:f>IF(OR($E89="",$F89=""),"",IF($I89="Either date",IF(OR(AND(J$15&lt;=$E89,J$15+6&gt;=$E89),AND(J$15&lt;=$F89,J$15+6&gt;=$F89)),3,""),IF(AND(J$15&lt;=$F89,J$15+6&gt;=$E89),IF($I89="Milestone",IF(AND(OR($D89="Complete",$D89="Submitted"),$F89&gt;Sources!$C$5),"T",2),IF(AND(OR($D89="Complete",$D89="Submitted"),J$15&gt;Sources!$C$5),4,1)),"")))</x:f>
      </x:c>
      <x:c r="K89" s="35" t="str">
        <x:f>IF(OR($E89="",$F89=""),"",IF($I89="Either date",IF(OR(AND(K$15&lt;=$E89,K$15+6&gt;=$E89),AND(K$15&lt;=$F89,K$15+6&gt;=$F89)),3,""),IF(AND(K$15&lt;=$F89,K$15+6&gt;=$E89),IF($I89="Milestone",IF(AND(OR($D89="Complete",$D89="Submitted"),$F89&gt;Sources!$C$5),"T",2),IF(AND(OR($D89="Complete",$D89="Submitted"),K$15&gt;Sources!$C$5),4,1)),"")))</x:f>
      </x:c>
      <x:c r="L89" s="35" t="str">
        <x:f>IF(OR($E89="",$F89=""),"",IF($I89="Either date",IF(OR(AND(L$15&lt;=$E89,L$15+6&gt;=$E89),AND(L$15&lt;=$F89,L$15+6&gt;=$F89)),3,""),IF(AND(L$15&lt;=$F89,L$15+6&gt;=$E89),IF($I89="Milestone",IF(AND(OR($D89="Complete",$D89="Submitted"),$F89&gt;Sources!$C$5),"T",2),IF(AND(OR($D89="Complete",$D89="Submitted"),L$15&gt;Sources!$C$5),4,1)),"")))</x:f>
      </x:c>
      <x:c r="M89" s="35" t="str">
        <x:f>IF(OR($E89="",$F89=""),"",IF($I89="Either date",IF(OR(AND(M$15&lt;=$E89,M$15+6&gt;=$E89),AND(M$15&lt;=$F89,M$15+6&gt;=$F89)),3,""),IF(AND(M$15&lt;=$F89,M$15+6&gt;=$E89),IF($I89="Milestone",IF(AND(OR($D89="Complete",$D89="Submitted"),$F89&gt;Sources!$C$5),"T",2),IF(AND(OR($D89="Complete",$D89="Submitted"),M$15&gt;Sources!$C$5),4,1)),"")))</x:f>
      </x:c>
      <x:c r="N89" s="35" t="n">
        <x:f>IF(OR($E89="",$F89=""),"",IF($I89="Either date",IF(OR(AND(N$15&lt;=$E89,N$15+6&gt;=$E89),AND(N$15&lt;=$F89,N$15+6&gt;=$F89)),3,""),IF(AND(N$15&lt;=$F89,N$15+6&gt;=$E89),IF($I89="Milestone",IF(AND(OR($D89="Complete",$D89="Submitted"),$F89&gt;Sources!$C$5),"T",2),IF(AND(OR($D89="Complete",$D89="Submitted"),N$15&gt;Sources!$C$5),4,1)),"")))</x:f>
        <x:v>2</x:v>
      </x:c>
      <x:c r="O89" s="35" t="str">
        <x:f>IF(OR($E89="",$F89=""),"",IF($I89="Either date",IF(OR(AND(O$15&lt;=$E89,O$15+6&gt;=$E89),AND(O$15&lt;=$F89,O$15+6&gt;=$F89)),3,""),IF(AND(O$15&lt;=$F89,O$15+6&gt;=$E89),IF($I89="Milestone",IF(AND(OR($D89="Complete",$D89="Submitted"),$F89&gt;Sources!$C$5),"T",2),IF(AND(OR($D89="Complete",$D89="Submitted"),O$15&gt;Sources!$C$5),4,1)),"")))</x:f>
      </x:c>
      <x:c r="P89" s="35" t="str">
        <x:f>IF(OR($E89="",$F89=""),"",IF($I89="Either date",IF(OR(AND(P$15&lt;=$E89,P$15+6&gt;=$E89),AND(P$15&lt;=$F89,P$15+6&gt;=$F89)),3,""),IF(AND(P$15&lt;=$F89,P$15+6&gt;=$E89),IF($I89="Milestone",IF(AND(OR($D89="Complete",$D89="Submitted"),$F89&gt;Sources!$C$5),"T",2),IF(AND(OR($D89="Complete",$D89="Submitted"),P$15&gt;Sources!$C$5),4,1)),"")))</x:f>
      </x:c>
      <x:c r="Q89" s="35" t="str">
        <x:f>IF(OR($E89="",$F89=""),"",IF($I89="Either date",IF(OR(AND(Q$15&lt;=$E89,Q$15+6&gt;=$E89),AND(Q$15&lt;=$F89,Q$15+6&gt;=$F89)),3,""),IF(AND(Q$15&lt;=$F89,Q$15+6&gt;=$E89),IF($I89="Milestone",IF(AND(OR($D89="Complete",$D89="Submitted"),$F89&gt;Sources!$C$5),"T",2),IF(AND(OR($D89="Complete",$D89="Submitted"),Q$15&gt;Sources!$C$5),4,1)),"")))</x:f>
      </x:c>
      <x:c r="R89" s="35" t="str">
        <x:f>IF(OR($E89="",$F89=""),"",IF($I89="Either date",IF(OR(AND(R$15&lt;=$E89,R$15+6&gt;=$E89),AND(R$15&lt;=$F89,R$15+6&gt;=$F89)),3,""),IF(AND(R$15&lt;=$F89,R$15+6&gt;=$E89),IF($I89="Milestone",IF(AND(OR($D89="Complete",$D89="Submitted"),$F89&gt;Sources!$C$5),"T",2),IF(AND(OR($D89="Complete",$D89="Submitted"),R$15&gt;Sources!$C$5),4,1)),"")))</x:f>
      </x:c>
      <x:c r="S89" s="35" t="str">
        <x:f>IF(OR($E89="",$F89=""),"",IF($I89="Either date",IF(OR(AND(S$15&lt;=$E89,S$15+6&gt;=$E89),AND(S$15&lt;=$F89,S$15+6&gt;=$F89)),3,""),IF(AND(S$15&lt;=$F89,S$15+6&gt;=$E89),IF($I89="Milestone",IF(AND(OR($D89="Complete",$D89="Submitted"),$F89&gt;Sources!$C$5),"T",2),IF(AND(OR($D89="Complete",$D89="Submitted"),S$15&gt;Sources!$C$5),4,1)),"")))</x:f>
      </x:c>
      <x:c r="T89" s="35" t="str">
        <x:f>IF(OR($E89="",$F89=""),"",IF($I89="Either date",IF(OR(AND(T$15&lt;=$E89,T$15+6&gt;=$E89),AND(T$15&lt;=$F89,T$15+6&gt;=$F89)),3,""),IF(AND(T$15&lt;=$F89,T$15+6&gt;=$E89),IF($I89="Milestone",IF(AND(OR($D89="Complete",$D89="Submitted"),$F89&gt;Sources!$C$5),"T",2),IF(AND(OR($D89="Complete",$D89="Submitted"),T$15&gt;Sources!$C$5),4,1)),"")))</x:f>
      </x:c>
      <x:c r="U89" s="2"/>
      <x:c r="V89" s="2" t="str"/>
      <x:c r="W89" s="18" t="str">
        <x:v>Course milestone</x:v>
      </x:c>
      <x:c r="X89" s="18" t="str">
        <x:v>Week 9 deadline update</x:v>
      </x:c>
    </x:row>
    <x:row r="90" ht="38" customHeight="1">
      <x:c r="A90" s="36" t="str">
        <x:v>C9</x:v>
      </x:c>
      <x:c r="B90" s="37" t="str">
        <x:v>Midterm Group Presentation</x:v>
      </x:c>
      <x:c r="C90" s="37" t="str">
        <x:v>All four</x:v>
      </x:c>
      <x:c r="D90" s="36" t="str">
        <x:v>Planned</x:v>
      </x:c>
      <x:c r="E90" s="38" t="n">
        <x:f>'Sources'!$C$7</x:f>
        <x:v>46321</x:v>
      </x:c>
      <x:c r="F90" s="38" t="n">
        <x:f>'Sources'!$C$8</x:f>
        <x:v>46323</x:v>
      </x:c>
      <x:c r="G90" s="36" t="str">
        <x:f>IF(OR(E90="",F90="",I90="Either date"),"",IF(F90&lt;E90,"Review",F90-E90+1))</x:f>
      </x:c>
      <x:c r="H90" s="37" t="str">
        <x:v>Midterm presentation preparation</x:v>
      </x:c>
      <x:c r="I90" s="37" t="str">
        <x:v>Either date</x:v>
      </x:c>
      <x:c r="J90" s="35" t="str">
        <x:f>IF(OR($E90="",$F90=""),"",IF($I90="Either date",IF(OR(AND(J$15&lt;=$E90,J$15+6&gt;=$E90),AND(J$15&lt;=$F90,J$15+6&gt;=$F90)),3,""),IF(AND(J$15&lt;=$F90,J$15+6&gt;=$E90),IF($I90="Milestone",IF(AND(OR($D90="Complete",$D90="Submitted"),$F90&gt;Sources!$C$5),"T",2),IF(AND(OR($D90="Complete",$D90="Submitted"),J$15&gt;Sources!$C$5),4,1)),"")))</x:f>
      </x:c>
      <x:c r="K90" s="35" t="str">
        <x:f>IF(OR($E90="",$F90=""),"",IF($I90="Either date",IF(OR(AND(K$15&lt;=$E90,K$15+6&gt;=$E90),AND(K$15&lt;=$F90,K$15+6&gt;=$F90)),3,""),IF(AND(K$15&lt;=$F90,K$15+6&gt;=$E90),IF($I90="Milestone",IF(AND(OR($D90="Complete",$D90="Submitted"),$F90&gt;Sources!$C$5),"T",2),IF(AND(OR($D90="Complete",$D90="Submitted"),K$15&gt;Sources!$C$5),4,1)),"")))</x:f>
      </x:c>
      <x:c r="L90" s="35" t="str">
        <x:f>IF(OR($E90="",$F90=""),"",IF($I90="Either date",IF(OR(AND(L$15&lt;=$E90,L$15+6&gt;=$E90),AND(L$15&lt;=$F90,L$15+6&gt;=$F90)),3,""),IF(AND(L$15&lt;=$F90,L$15+6&gt;=$E90),IF($I90="Milestone",IF(AND(OR($D90="Complete",$D90="Submitted"),$F90&gt;Sources!$C$5),"T",2),IF(AND(OR($D90="Complete",$D90="Submitted"),L$15&gt;Sources!$C$5),4,1)),"")))</x:f>
      </x:c>
      <x:c r="M90" s="35" t="str">
        <x:f>IF(OR($E90="",$F90=""),"",IF($I90="Either date",IF(OR(AND(M$15&lt;=$E90,M$15+6&gt;=$E90),AND(M$15&lt;=$F90,M$15+6&gt;=$F90)),3,""),IF(AND(M$15&lt;=$F90,M$15+6&gt;=$E90),IF($I90="Milestone",IF(AND(OR($D90="Complete",$D90="Submitted"),$F90&gt;Sources!$C$5),"T",2),IF(AND(OR($D90="Complete",$D90="Submitted"),M$15&gt;Sources!$C$5),4,1)),"")))</x:f>
      </x:c>
      <x:c r="N90" s="35" t="n">
        <x:f>IF(OR($E90="",$F90=""),"",IF($I90="Either date",IF(OR(AND(N$15&lt;=$E90,N$15+6&gt;=$E90),AND(N$15&lt;=$F90,N$15+6&gt;=$F90)),3,""),IF(AND(N$15&lt;=$F90,N$15+6&gt;=$E90),IF($I90="Milestone",IF(AND(OR($D90="Complete",$D90="Submitted"),$F90&gt;Sources!$C$5),"T",2),IF(AND(OR($D90="Complete",$D90="Submitted"),N$15&gt;Sources!$C$5),4,1)),"")))</x:f>
        <x:v>3</x:v>
      </x:c>
      <x:c r="O90" s="35" t="str">
        <x:f>IF(OR($E90="",$F90=""),"",IF($I90="Either date",IF(OR(AND(O$15&lt;=$E90,O$15+6&gt;=$E90),AND(O$15&lt;=$F90,O$15+6&gt;=$F90)),3,""),IF(AND(O$15&lt;=$F90,O$15+6&gt;=$E90),IF($I90="Milestone",IF(AND(OR($D90="Complete",$D90="Submitted"),$F90&gt;Sources!$C$5),"T",2),IF(AND(OR($D90="Complete",$D90="Submitted"),O$15&gt;Sources!$C$5),4,1)),"")))</x:f>
      </x:c>
      <x:c r="P90" s="35" t="str">
        <x:f>IF(OR($E90="",$F90=""),"",IF($I90="Either date",IF(OR(AND(P$15&lt;=$E90,P$15+6&gt;=$E90),AND(P$15&lt;=$F90,P$15+6&gt;=$F90)),3,""),IF(AND(P$15&lt;=$F90,P$15+6&gt;=$E90),IF($I90="Milestone",IF(AND(OR($D90="Complete",$D90="Submitted"),$F90&gt;Sources!$C$5),"T",2),IF(AND(OR($D90="Complete",$D90="Submitted"),P$15&gt;Sources!$C$5),4,1)),"")))</x:f>
      </x:c>
      <x:c r="Q90" s="35" t="str">
        <x:f>IF(OR($E90="",$F90=""),"",IF($I90="Either date",IF(OR(AND(Q$15&lt;=$E90,Q$15+6&gt;=$E90),AND(Q$15&lt;=$F90,Q$15+6&gt;=$F90)),3,""),IF(AND(Q$15&lt;=$F90,Q$15+6&gt;=$E90),IF($I90="Milestone",IF(AND(OR($D90="Complete",$D90="Submitted"),$F90&gt;Sources!$C$5),"T",2),IF(AND(OR($D90="Complete",$D90="Submitted"),Q$15&gt;Sources!$C$5),4,1)),"")))</x:f>
      </x:c>
      <x:c r="R90" s="35" t="str">
        <x:f>IF(OR($E90="",$F90=""),"",IF($I90="Either date",IF(OR(AND(R$15&lt;=$E90,R$15+6&gt;=$E90),AND(R$15&lt;=$F90,R$15+6&gt;=$F90)),3,""),IF(AND(R$15&lt;=$F90,R$15+6&gt;=$E90),IF($I90="Milestone",IF(AND(OR($D90="Complete",$D90="Submitted"),$F90&gt;Sources!$C$5),"T",2),IF(AND(OR($D90="Complete",$D90="Submitted"),R$15&gt;Sources!$C$5),4,1)),"")))</x:f>
      </x:c>
      <x:c r="S90" s="35" t="str">
        <x:f>IF(OR($E90="",$F90=""),"",IF($I90="Either date",IF(OR(AND(S$15&lt;=$E90,S$15+6&gt;=$E90),AND(S$15&lt;=$F90,S$15+6&gt;=$F90)),3,""),IF(AND(S$15&lt;=$F90,S$15+6&gt;=$E90),IF($I90="Milestone",IF(AND(OR($D90="Complete",$D90="Submitted"),$F90&gt;Sources!$C$5),"T",2),IF(AND(OR($D90="Complete",$D90="Submitted"),S$15&gt;Sources!$C$5),4,1)),"")))</x:f>
      </x:c>
      <x:c r="T90" s="35" t="str">
        <x:f>IF(OR($E90="",$F90=""),"",IF($I90="Either date",IF(OR(AND(T$15&lt;=$E90,T$15+6&gt;=$E90),AND(T$15&lt;=$F90,T$15+6&gt;=$F90)),3,""),IF(AND(T$15&lt;=$F90,T$15+6&gt;=$E90),IF($I90="Milestone",IF(AND(OR($D90="Complete",$D90="Submitted"),$F90&gt;Sources!$C$5),"T",2),IF(AND(OR($D90="Complete",$D90="Submitted"),T$15&gt;Sources!$C$5),4,1)),"")))</x:f>
      </x:c>
      <x:c r="U90" s="2"/>
      <x:c r="V90" s="2" t="str">
        <x:v>One of the two listed dates is selected at random.</x:v>
      </x:c>
      <x:c r="W90" s="18" t="str">
        <x:v>Course milestone</x:v>
      </x:c>
      <x:c r="X90" s="18" t="str">
        <x:v>Week 9 date clarification</x:v>
      </x:c>
    </x:row>
    <x:row r="91" ht="38" customHeight="1">
      <x:c r="A91" s="2" t="str">
        <x:v>C10</x:v>
      </x:c>
      <x:c r="B91" s="18" t="str">
        <x:v>Midterm Individual Presentation Grade</x:v>
      </x:c>
      <x:c r="C91" s="18" t="str">
        <x:v>All four</x:v>
      </x:c>
      <x:c r="D91" s="2" t="str">
        <x:v>Planned</x:v>
      </x:c>
      <x:c r="E91" s="15" t="n">
        <x:f>'Sources'!$C$7</x:f>
        <x:v>46321</x:v>
      </x:c>
      <x:c r="F91" s="15" t="n">
        <x:f>'Sources'!$C$8</x:f>
        <x:v>46323</x:v>
      </x:c>
      <x:c r="G91" s="2" t="str">
        <x:f>IF(OR(E91="",F91="",I91="Either date"),"",IF(F91&lt;E91,"Review",F91-E91+1))</x:f>
      </x:c>
      <x:c r="H91" s="18" t="str">
        <x:v>Midterm presentation preparation</x:v>
      </x:c>
      <x:c r="I91" s="18" t="str">
        <x:v>Either date</x:v>
      </x:c>
      <x:c r="J91" s="35" t="str">
        <x:f>IF(OR($E91="",$F91=""),"",IF($I91="Either date",IF(OR(AND(J$15&lt;=$E91,J$15+6&gt;=$E91),AND(J$15&lt;=$F91,J$15+6&gt;=$F91)),3,""),IF(AND(J$15&lt;=$F91,J$15+6&gt;=$E91),IF($I91="Milestone",IF(AND(OR($D91="Complete",$D91="Submitted"),$F91&gt;Sources!$C$5),"T",2),IF(AND(OR($D91="Complete",$D91="Submitted"),J$15&gt;Sources!$C$5),4,1)),"")))</x:f>
      </x:c>
      <x:c r="K91" s="35" t="str">
        <x:f>IF(OR($E91="",$F91=""),"",IF($I91="Either date",IF(OR(AND(K$15&lt;=$E91,K$15+6&gt;=$E91),AND(K$15&lt;=$F91,K$15+6&gt;=$F91)),3,""),IF(AND(K$15&lt;=$F91,K$15+6&gt;=$E91),IF($I91="Milestone",IF(AND(OR($D91="Complete",$D91="Submitted"),$F91&gt;Sources!$C$5),"T",2),IF(AND(OR($D91="Complete",$D91="Submitted"),K$15&gt;Sources!$C$5),4,1)),"")))</x:f>
      </x:c>
      <x:c r="L91" s="35" t="str">
        <x:f>IF(OR($E91="",$F91=""),"",IF($I91="Either date",IF(OR(AND(L$15&lt;=$E91,L$15+6&gt;=$E91),AND(L$15&lt;=$F91,L$15+6&gt;=$F91)),3,""),IF(AND(L$15&lt;=$F91,L$15+6&gt;=$E91),IF($I91="Milestone",IF(AND(OR($D91="Complete",$D91="Submitted"),$F91&gt;Sources!$C$5),"T",2),IF(AND(OR($D91="Complete",$D91="Submitted"),L$15&gt;Sources!$C$5),4,1)),"")))</x:f>
      </x:c>
      <x:c r="M91" s="35" t="str">
        <x:f>IF(OR($E91="",$F91=""),"",IF($I91="Either date",IF(OR(AND(M$15&lt;=$E91,M$15+6&gt;=$E91),AND(M$15&lt;=$F91,M$15+6&gt;=$F91)),3,""),IF(AND(M$15&lt;=$F91,M$15+6&gt;=$E91),IF($I91="Milestone",IF(AND(OR($D91="Complete",$D91="Submitted"),$F91&gt;Sources!$C$5),"T",2),IF(AND(OR($D91="Complete",$D91="Submitted"),M$15&gt;Sources!$C$5),4,1)),"")))</x:f>
      </x:c>
      <x:c r="N91" s="35" t="n">
        <x:f>IF(OR($E91="",$F91=""),"",IF($I91="Either date",IF(OR(AND(N$15&lt;=$E91,N$15+6&gt;=$E91),AND(N$15&lt;=$F91,N$15+6&gt;=$F91)),3,""),IF(AND(N$15&lt;=$F91,N$15+6&gt;=$E91),IF($I91="Milestone",IF(AND(OR($D91="Complete",$D91="Submitted"),$F91&gt;Sources!$C$5),"T",2),IF(AND(OR($D91="Complete",$D91="Submitted"),N$15&gt;Sources!$C$5),4,1)),"")))</x:f>
        <x:v>3</x:v>
      </x:c>
      <x:c r="O91" s="35" t="str">
        <x:f>IF(OR($E91="",$F91=""),"",IF($I91="Either date",IF(OR(AND(O$15&lt;=$E91,O$15+6&gt;=$E91),AND(O$15&lt;=$F91,O$15+6&gt;=$F91)),3,""),IF(AND(O$15&lt;=$F91,O$15+6&gt;=$E91),IF($I91="Milestone",IF(AND(OR($D91="Complete",$D91="Submitted"),$F91&gt;Sources!$C$5),"T",2),IF(AND(OR($D91="Complete",$D91="Submitted"),O$15&gt;Sources!$C$5),4,1)),"")))</x:f>
      </x:c>
      <x:c r="P91" s="35" t="str">
        <x:f>IF(OR($E91="",$F91=""),"",IF($I91="Either date",IF(OR(AND(P$15&lt;=$E91,P$15+6&gt;=$E91),AND(P$15&lt;=$F91,P$15+6&gt;=$F91)),3,""),IF(AND(P$15&lt;=$F91,P$15+6&gt;=$E91),IF($I91="Milestone",IF(AND(OR($D91="Complete",$D91="Submitted"),$F91&gt;Sources!$C$5),"T",2),IF(AND(OR($D91="Complete",$D91="Submitted"),P$15&gt;Sources!$C$5),4,1)),"")))</x:f>
      </x:c>
      <x:c r="Q91" s="35" t="str">
        <x:f>IF(OR($E91="",$F91=""),"",IF($I91="Either date",IF(OR(AND(Q$15&lt;=$E91,Q$15+6&gt;=$E91),AND(Q$15&lt;=$F91,Q$15+6&gt;=$F91)),3,""),IF(AND(Q$15&lt;=$F91,Q$15+6&gt;=$E91),IF($I91="Milestone",IF(AND(OR($D91="Complete",$D91="Submitted"),$F91&gt;Sources!$C$5),"T",2),IF(AND(OR($D91="Complete",$D91="Submitted"),Q$15&gt;Sources!$C$5),4,1)),"")))</x:f>
      </x:c>
      <x:c r="R91" s="35" t="str">
        <x:f>IF(OR($E91="",$F91=""),"",IF($I91="Either date",IF(OR(AND(R$15&lt;=$E91,R$15+6&gt;=$E91),AND(R$15&lt;=$F91,R$15+6&gt;=$F91)),3,""),IF(AND(R$15&lt;=$F91,R$15+6&gt;=$E91),IF($I91="Milestone",IF(AND(OR($D91="Complete",$D91="Submitted"),$F91&gt;Sources!$C$5),"T",2),IF(AND(OR($D91="Complete",$D91="Submitted"),R$15&gt;Sources!$C$5),4,1)),"")))</x:f>
      </x:c>
      <x:c r="S91" s="35" t="str">
        <x:f>IF(OR($E91="",$F91=""),"",IF($I91="Either date",IF(OR(AND(S$15&lt;=$E91,S$15+6&gt;=$E91),AND(S$15&lt;=$F91,S$15+6&gt;=$F91)),3,""),IF(AND(S$15&lt;=$F91,S$15+6&gt;=$E91),IF($I91="Milestone",IF(AND(OR($D91="Complete",$D91="Submitted"),$F91&gt;Sources!$C$5),"T",2),IF(AND(OR($D91="Complete",$D91="Submitted"),S$15&gt;Sources!$C$5),4,1)),"")))</x:f>
      </x:c>
      <x:c r="T91" s="35" t="str">
        <x:f>IF(OR($E91="",$F91=""),"",IF($I91="Either date",IF(OR(AND(T$15&lt;=$E91,T$15+6&gt;=$E91),AND(T$15&lt;=$F91,T$15+6&gt;=$F91)),3,""),IF(AND(T$15&lt;=$F91,T$15+6&gt;=$E91),IF($I91="Milestone",IF(AND(OR($D91="Complete",$D91="Submitted"),$F91&gt;Sources!$C$5),"T",2),IF(AND(OR($D91="Complete",$D91="Submitted"),T$15&gt;Sources!$C$5),4,1)),"")))</x:f>
      </x:c>
      <x:c r="U91" s="2"/>
      <x:c r="V91" s="2" t="str">
        <x:v>One of the two listed dates is selected at random.</x:v>
      </x:c>
      <x:c r="W91" s="18" t="str">
        <x:v>Course milestone</x:v>
      </x:c>
      <x:c r="X91" s="18" t="str">
        <x:v>Week 9 date clarification</x:v>
      </x:c>
    </x:row>
    <x:row r="92" ht="38" customHeight="1">
      <x:c r="A92" s="36" t="str">
        <x:v>C14</x:v>
      </x:c>
      <x:c r="B92" s="37" t="str">
        <x:v>Week 10 MVP progress check-in</x:v>
      </x:c>
      <x:c r="C92" s="37" t="str">
        <x:v>All four</x:v>
      </x:c>
      <x:c r="D92" s="36" t="str">
        <x:v>Planned</x:v>
      </x:c>
      <x:c r="E92" s="38" t="d">
        <x:v>2026-10-30T00:00:00.000Z</x:v>
      </x:c>
      <x:c r="F92" s="38" t="d">
        <x:v>2026-10-30T00:00:00.000Z</x:v>
      </x:c>
      <x:c r="G92" s="36" t="n">
        <x:f>IF(OR(E92="",F92="",I92="Either date"),"",IF(F92&lt;E92,"Review",F92-E92+1))</x:f>
        <x:v>1</x:v>
      </x:c>
      <x:c r="H92" s="37" t="str">
        <x:v>I3</x:v>
      </x:c>
      <x:c r="I92" s="37" t="str">
        <x:v>Milestone</x:v>
      </x:c>
      <x:c r="J92" s="35" t="str">
        <x:f>IF(OR($E92="",$F92=""),"",IF($I92="Either date",IF(OR(AND(J$15&lt;=$E92,J$15+6&gt;=$E92),AND(J$15&lt;=$F92,J$15+6&gt;=$F92)),3,""),IF(AND(J$15&lt;=$F92,J$15+6&gt;=$E92),IF($I92="Milestone",IF(AND(OR($D92="Complete",$D92="Submitted"),$F92&gt;Sources!$C$5),"T",2),IF(AND(OR($D92="Complete",$D92="Submitted"),J$15&gt;Sources!$C$5),4,1)),"")))</x:f>
      </x:c>
      <x:c r="K92" s="35" t="str">
        <x:f>IF(OR($E92="",$F92=""),"",IF($I92="Either date",IF(OR(AND(K$15&lt;=$E92,K$15+6&gt;=$E92),AND(K$15&lt;=$F92,K$15+6&gt;=$F92)),3,""),IF(AND(K$15&lt;=$F92,K$15+6&gt;=$E92),IF($I92="Milestone",IF(AND(OR($D92="Complete",$D92="Submitted"),$F92&gt;Sources!$C$5),"T",2),IF(AND(OR($D92="Complete",$D92="Submitted"),K$15&gt;Sources!$C$5),4,1)),"")))</x:f>
      </x:c>
      <x:c r="L92" s="35" t="str">
        <x:f>IF(OR($E92="",$F92=""),"",IF($I92="Either date",IF(OR(AND(L$15&lt;=$E92,L$15+6&gt;=$E92),AND(L$15&lt;=$F92,L$15+6&gt;=$F92)),3,""),IF(AND(L$15&lt;=$F92,L$15+6&gt;=$E92),IF($I92="Milestone",IF(AND(OR($D92="Complete",$D92="Submitted"),$F92&gt;Sources!$C$5),"T",2),IF(AND(OR($D92="Complete",$D92="Submitted"),L$15&gt;Sources!$C$5),4,1)),"")))</x:f>
      </x:c>
      <x:c r="M92" s="35" t="str">
        <x:f>IF(OR($E92="",$F92=""),"",IF($I92="Either date",IF(OR(AND(M$15&lt;=$E92,M$15+6&gt;=$E92),AND(M$15&lt;=$F92,M$15+6&gt;=$F92)),3,""),IF(AND(M$15&lt;=$F92,M$15+6&gt;=$E92),IF($I92="Milestone",IF(AND(OR($D92="Complete",$D92="Submitted"),$F92&gt;Sources!$C$5),"T",2),IF(AND(OR($D92="Complete",$D92="Submitted"),M$15&gt;Sources!$C$5),4,1)),"")))</x:f>
      </x:c>
      <x:c r="N92" s="35" t="n">
        <x:f>IF(OR($E92="",$F92=""),"",IF($I92="Either date",IF(OR(AND(N$15&lt;=$E92,N$15+6&gt;=$E92),AND(N$15&lt;=$F92,N$15+6&gt;=$F92)),3,""),IF(AND(N$15&lt;=$F92,N$15+6&gt;=$E92),IF($I92="Milestone",IF(AND(OR($D92="Complete",$D92="Submitted"),$F92&gt;Sources!$C$5),"T",2),IF(AND(OR($D92="Complete",$D92="Submitted"),N$15&gt;Sources!$C$5),4,1)),"")))</x:f>
        <x:v>2</x:v>
      </x:c>
      <x:c r="O92" s="35" t="str">
        <x:f>IF(OR($E92="",$F92=""),"",IF($I92="Either date",IF(OR(AND(O$15&lt;=$E92,O$15+6&gt;=$E92),AND(O$15&lt;=$F92,O$15+6&gt;=$F92)),3,""),IF(AND(O$15&lt;=$F92,O$15+6&gt;=$E92),IF($I92="Milestone",IF(AND(OR($D92="Complete",$D92="Submitted"),$F92&gt;Sources!$C$5),"T",2),IF(AND(OR($D92="Complete",$D92="Submitted"),O$15&gt;Sources!$C$5),4,1)),"")))</x:f>
      </x:c>
      <x:c r="P92" s="35" t="str">
        <x:f>IF(OR($E92="",$F92=""),"",IF($I92="Either date",IF(OR(AND(P$15&lt;=$E92,P$15+6&gt;=$E92),AND(P$15&lt;=$F92,P$15+6&gt;=$F92)),3,""),IF(AND(P$15&lt;=$F92,P$15+6&gt;=$E92),IF($I92="Milestone",IF(AND(OR($D92="Complete",$D92="Submitted"),$F92&gt;Sources!$C$5),"T",2),IF(AND(OR($D92="Complete",$D92="Submitted"),P$15&gt;Sources!$C$5),4,1)),"")))</x:f>
      </x:c>
      <x:c r="Q92" s="35" t="str">
        <x:f>IF(OR($E92="",$F92=""),"",IF($I92="Either date",IF(OR(AND(Q$15&lt;=$E92,Q$15+6&gt;=$E92),AND(Q$15&lt;=$F92,Q$15+6&gt;=$F92)),3,""),IF(AND(Q$15&lt;=$F92,Q$15+6&gt;=$E92),IF($I92="Milestone",IF(AND(OR($D92="Complete",$D92="Submitted"),$F92&gt;Sources!$C$5),"T",2),IF(AND(OR($D92="Complete",$D92="Submitted"),Q$15&gt;Sources!$C$5),4,1)),"")))</x:f>
      </x:c>
      <x:c r="R92" s="35" t="str">
        <x:f>IF(OR($E92="",$F92=""),"",IF($I92="Either date",IF(OR(AND(R$15&lt;=$E92,R$15+6&gt;=$E92),AND(R$15&lt;=$F92,R$15+6&gt;=$F92)),3,""),IF(AND(R$15&lt;=$F92,R$15+6&gt;=$E92),IF($I92="Milestone",IF(AND(OR($D92="Complete",$D92="Submitted"),$F92&gt;Sources!$C$5),"T",2),IF(AND(OR($D92="Complete",$D92="Submitted"),R$15&gt;Sources!$C$5),4,1)),"")))</x:f>
      </x:c>
      <x:c r="S92" s="35" t="str">
        <x:f>IF(OR($E92="",$F92=""),"",IF($I92="Either date",IF(OR(AND(S$15&lt;=$E92,S$15+6&gt;=$E92),AND(S$15&lt;=$F92,S$15+6&gt;=$F92)),3,""),IF(AND(S$15&lt;=$F92,S$15+6&gt;=$E92),IF($I92="Milestone",IF(AND(OR($D92="Complete",$D92="Submitted"),$F92&gt;Sources!$C$5),"T",2),IF(AND(OR($D92="Complete",$D92="Submitted"),S$15&gt;Sources!$C$5),4,1)),"")))</x:f>
      </x:c>
      <x:c r="T92" s="35" t="str">
        <x:f>IF(OR($E92="",$F92=""),"",IF($I92="Either date",IF(OR(AND(T$15&lt;=$E92,T$15+6&gt;=$E92),AND(T$15&lt;=$F92,T$15+6&gt;=$F92)),3,""),IF(AND(T$15&lt;=$F92,T$15+6&gt;=$E92),IF($I92="Milestone",IF(AND(OR($D92="Complete",$D92="Submitted"),$F92&gt;Sources!$C$5),"T",2),IF(AND(OR($D92="Complete",$D92="Submitted"),T$15&gt;Sources!$C$5),4,1)),"")))</x:f>
      </x:c>
      <x:c r="U92" s="2"/>
      <x:c r="V92" s="2" t="str">
        <x:v>Interim progress check-in before final MVP submission.</x:v>
      </x:c>
      <x:c r="W92" s="18" t="str">
        <x:v>Course milestone</x:v>
      </x:c>
      <x:c r="X92" s="18" t="str">
        <x:v>Submitted Gantt</x:v>
      </x:c>
    </x:row>
    <x:row r="93" ht="38" customHeight="1">
      <x:c r="A93" s="2" t="str">
        <x:v>C15</x:v>
      </x:c>
      <x:c r="B93" s="18" t="str">
        <x:v>Week 10 project log</x:v>
      </x:c>
      <x:c r="C93" s="18" t="str">
        <x:v>All four</x:v>
      </x:c>
      <x:c r="D93" s="2" t="str">
        <x:v>Planned</x:v>
      </x:c>
      <x:c r="E93" s="15" t="d">
        <x:v>2026-10-30T00:00:00.000Z</x:v>
      </x:c>
      <x:c r="F93" s="15" t="d">
        <x:v>2026-10-30T00:00:00.000Z</x:v>
      </x:c>
      <x:c r="G93" s="2" t="n">
        <x:f>IF(OR(E93="",F93="",I93="Either date"),"",IF(F93&lt;E93,"Review",F93-E93+1))</x:f>
        <x:v>1</x:v>
      </x:c>
      <x:c r="H93" s="18" t="str">
        <x:v>L10</x:v>
      </x:c>
      <x:c r="I93" s="18" t="str">
        <x:v>Milestone</x:v>
      </x:c>
      <x:c r="J93" s="35" t="str">
        <x:f>IF(OR($E93="",$F93=""),"",IF($I93="Either date",IF(OR(AND(J$15&lt;=$E93,J$15+6&gt;=$E93),AND(J$15&lt;=$F93,J$15+6&gt;=$F93)),3,""),IF(AND(J$15&lt;=$F93,J$15+6&gt;=$E93),IF($I93="Milestone",IF(AND(OR($D93="Complete",$D93="Submitted"),$F93&gt;Sources!$C$5),"T",2),IF(AND(OR($D93="Complete",$D93="Submitted"),J$15&gt;Sources!$C$5),4,1)),"")))</x:f>
      </x:c>
      <x:c r="K93" s="35" t="str">
        <x:f>IF(OR($E93="",$F93=""),"",IF($I93="Either date",IF(OR(AND(K$15&lt;=$E93,K$15+6&gt;=$E93),AND(K$15&lt;=$F93,K$15+6&gt;=$F93)),3,""),IF(AND(K$15&lt;=$F93,K$15+6&gt;=$E93),IF($I93="Milestone",IF(AND(OR($D93="Complete",$D93="Submitted"),$F93&gt;Sources!$C$5),"T",2),IF(AND(OR($D93="Complete",$D93="Submitted"),K$15&gt;Sources!$C$5),4,1)),"")))</x:f>
      </x:c>
      <x:c r="L93" s="35" t="str">
        <x:f>IF(OR($E93="",$F93=""),"",IF($I93="Either date",IF(OR(AND(L$15&lt;=$E93,L$15+6&gt;=$E93),AND(L$15&lt;=$F93,L$15+6&gt;=$F93)),3,""),IF(AND(L$15&lt;=$F93,L$15+6&gt;=$E93),IF($I93="Milestone",IF(AND(OR($D93="Complete",$D93="Submitted"),$F93&gt;Sources!$C$5),"T",2),IF(AND(OR($D93="Complete",$D93="Submitted"),L$15&gt;Sources!$C$5),4,1)),"")))</x:f>
      </x:c>
      <x:c r="M93" s="35" t="str">
        <x:f>IF(OR($E93="",$F93=""),"",IF($I93="Either date",IF(OR(AND(M$15&lt;=$E93,M$15+6&gt;=$E93),AND(M$15&lt;=$F93,M$15+6&gt;=$F93)),3,""),IF(AND(M$15&lt;=$F93,M$15+6&gt;=$E93),IF($I93="Milestone",IF(AND(OR($D93="Complete",$D93="Submitted"),$F93&gt;Sources!$C$5),"T",2),IF(AND(OR($D93="Complete",$D93="Submitted"),M$15&gt;Sources!$C$5),4,1)),"")))</x:f>
      </x:c>
      <x:c r="N93" s="35" t="n">
        <x:f>IF(OR($E93="",$F93=""),"",IF($I93="Either date",IF(OR(AND(N$15&lt;=$E93,N$15+6&gt;=$E93),AND(N$15&lt;=$F93,N$15+6&gt;=$F93)),3,""),IF(AND(N$15&lt;=$F93,N$15+6&gt;=$E93),IF($I93="Milestone",IF(AND(OR($D93="Complete",$D93="Submitted"),$F93&gt;Sources!$C$5),"T",2),IF(AND(OR($D93="Complete",$D93="Submitted"),N$15&gt;Sources!$C$5),4,1)),"")))</x:f>
        <x:v>2</x:v>
      </x:c>
      <x:c r="O93" s="35" t="str">
        <x:f>IF(OR($E93="",$F93=""),"",IF($I93="Either date",IF(OR(AND(O$15&lt;=$E93,O$15+6&gt;=$E93),AND(O$15&lt;=$F93,O$15+6&gt;=$F93)),3,""),IF(AND(O$15&lt;=$F93,O$15+6&gt;=$E93),IF($I93="Milestone",IF(AND(OR($D93="Complete",$D93="Submitted"),$F93&gt;Sources!$C$5),"T",2),IF(AND(OR($D93="Complete",$D93="Submitted"),O$15&gt;Sources!$C$5),4,1)),"")))</x:f>
      </x:c>
      <x:c r="P93" s="35" t="str">
        <x:f>IF(OR($E93="",$F93=""),"",IF($I93="Either date",IF(OR(AND(P$15&lt;=$E93,P$15+6&gt;=$E93),AND(P$15&lt;=$F93,P$15+6&gt;=$F93)),3,""),IF(AND(P$15&lt;=$F93,P$15+6&gt;=$E93),IF($I93="Milestone",IF(AND(OR($D93="Complete",$D93="Submitted"),$F93&gt;Sources!$C$5),"T",2),IF(AND(OR($D93="Complete",$D93="Submitted"),P$15&gt;Sources!$C$5),4,1)),"")))</x:f>
      </x:c>
      <x:c r="Q93" s="35" t="str">
        <x:f>IF(OR($E93="",$F93=""),"",IF($I93="Either date",IF(OR(AND(Q$15&lt;=$E93,Q$15+6&gt;=$E93),AND(Q$15&lt;=$F93,Q$15+6&gt;=$F93)),3,""),IF(AND(Q$15&lt;=$F93,Q$15+6&gt;=$E93),IF($I93="Milestone",IF(AND(OR($D93="Complete",$D93="Submitted"),$F93&gt;Sources!$C$5),"T",2),IF(AND(OR($D93="Complete",$D93="Submitted"),Q$15&gt;Sources!$C$5),4,1)),"")))</x:f>
      </x:c>
      <x:c r="R93" s="35" t="str">
        <x:f>IF(OR($E93="",$F93=""),"",IF($I93="Either date",IF(OR(AND(R$15&lt;=$E93,R$15+6&gt;=$E93),AND(R$15&lt;=$F93,R$15+6&gt;=$F93)),3,""),IF(AND(R$15&lt;=$F93,R$15+6&gt;=$E93),IF($I93="Milestone",IF(AND(OR($D93="Complete",$D93="Submitted"),$F93&gt;Sources!$C$5),"T",2),IF(AND(OR($D93="Complete",$D93="Submitted"),R$15&gt;Sources!$C$5),4,1)),"")))</x:f>
      </x:c>
      <x:c r="S93" s="35" t="str">
        <x:f>IF(OR($E93="",$F93=""),"",IF($I93="Either date",IF(OR(AND(S$15&lt;=$E93,S$15+6&gt;=$E93),AND(S$15&lt;=$F93,S$15+6&gt;=$F93)),3,""),IF(AND(S$15&lt;=$F93,S$15+6&gt;=$E93),IF($I93="Milestone",IF(AND(OR($D93="Complete",$D93="Submitted"),$F93&gt;Sources!$C$5),"T",2),IF(AND(OR($D93="Complete",$D93="Submitted"),S$15&gt;Sources!$C$5),4,1)),"")))</x:f>
      </x:c>
      <x:c r="T93" s="35" t="str">
        <x:f>IF(OR($E93="",$F93=""),"",IF($I93="Either date",IF(OR(AND(T$15&lt;=$E93,T$15+6&gt;=$E93),AND(T$15&lt;=$F93,T$15+6&gt;=$F93)),3,""),IF(AND(T$15&lt;=$F93,T$15+6&gt;=$E93),IF($I93="Milestone",IF(AND(OR($D93="Complete",$D93="Submitted"),$F93&gt;Sources!$C$5),"T",2),IF(AND(OR($D93="Complete",$D93="Submitted"),T$15&gt;Sources!$C$5),4,1)),"")))</x:f>
      </x:c>
      <x:c r="U93" s="2"/>
      <x:c r="V93" s="2" t="str"/>
      <x:c r="W93" s="18" t="str">
        <x:v>Course milestone</x:v>
      </x:c>
      <x:c r="X93" s="18" t="str">
        <x:v>Submitted Gantt</x:v>
      </x:c>
    </x:row>
    <x:row r="94" ht="38" customHeight="1">
      <x:c r="A94" s="36" t="str">
        <x:v>C13</x:v>
      </x:c>
      <x:c r="B94" s="37" t="str">
        <x:v>MVP (Minimally Viable Prototype)</x:v>
      </x:c>
      <x:c r="C94" s="37" t="str">
        <x:v>All four</x:v>
      </x:c>
      <x:c r="D94" s="36" t="str">
        <x:v>Planned</x:v>
      </x:c>
      <x:c r="E94" s="38" t="n">
        <x:f>'Sources'!$C$9</x:f>
        <x:v>46328</x:v>
      </x:c>
      <x:c r="F94" s="38" t="n">
        <x:f>'Sources'!$C$9</x:f>
        <x:v>46328</x:v>
      </x:c>
      <x:c r="G94" s="36" t="n">
        <x:f>IF(OR(E94="",F94="",I94="Either date"),"",IF(F94&lt;E94,"Review",F94-E94+1))</x:f>
        <x:v>1</x:v>
      </x:c>
      <x:c r="H94" s="37" t="str">
        <x:v>M4</x:v>
      </x:c>
      <x:c r="I94" s="37" t="str">
        <x:v>Milestone</x:v>
      </x:c>
      <x:c r="J94" s="35" t="str">
        <x:f>IF(OR($E94="",$F94=""),"",IF($I94="Either date",IF(OR(AND(J$15&lt;=$E94,J$15+6&gt;=$E94),AND(J$15&lt;=$F94,J$15+6&gt;=$F94)),3,""),IF(AND(J$15&lt;=$F94,J$15+6&gt;=$E94),IF($I94="Milestone",IF(AND(OR($D94="Complete",$D94="Submitted"),$F94&gt;Sources!$C$5),"T",2),IF(AND(OR($D94="Complete",$D94="Submitted"),J$15&gt;Sources!$C$5),4,1)),"")))</x:f>
      </x:c>
      <x:c r="K94" s="35" t="str">
        <x:f>IF(OR($E94="",$F94=""),"",IF($I94="Either date",IF(OR(AND(K$15&lt;=$E94,K$15+6&gt;=$E94),AND(K$15&lt;=$F94,K$15+6&gt;=$F94)),3,""),IF(AND(K$15&lt;=$F94,K$15+6&gt;=$E94),IF($I94="Milestone",IF(AND(OR($D94="Complete",$D94="Submitted"),$F94&gt;Sources!$C$5),"T",2),IF(AND(OR($D94="Complete",$D94="Submitted"),K$15&gt;Sources!$C$5),4,1)),"")))</x:f>
      </x:c>
      <x:c r="L94" s="35" t="str">
        <x:f>IF(OR($E94="",$F94=""),"",IF($I94="Either date",IF(OR(AND(L$15&lt;=$E94,L$15+6&gt;=$E94),AND(L$15&lt;=$F94,L$15+6&gt;=$F94)),3,""),IF(AND(L$15&lt;=$F94,L$15+6&gt;=$E94),IF($I94="Milestone",IF(AND(OR($D94="Complete",$D94="Submitted"),$F94&gt;Sources!$C$5),"T",2),IF(AND(OR($D94="Complete",$D94="Submitted"),L$15&gt;Sources!$C$5),4,1)),"")))</x:f>
      </x:c>
      <x:c r="M94" s="35" t="str">
        <x:f>IF(OR($E94="",$F94=""),"",IF($I94="Either date",IF(OR(AND(M$15&lt;=$E94,M$15+6&gt;=$E94),AND(M$15&lt;=$F94,M$15+6&gt;=$F94)),3,""),IF(AND(M$15&lt;=$F94,M$15+6&gt;=$E94),IF($I94="Milestone",IF(AND(OR($D94="Complete",$D94="Submitted"),$F94&gt;Sources!$C$5),"T",2),IF(AND(OR($D94="Complete",$D94="Submitted"),M$15&gt;Sources!$C$5),4,1)),"")))</x:f>
      </x:c>
      <x:c r="N94" s="35" t="str">
        <x:f>IF(OR($E94="",$F94=""),"",IF($I94="Either date",IF(OR(AND(N$15&lt;=$E94,N$15+6&gt;=$E94),AND(N$15&lt;=$F94,N$15+6&gt;=$F94)),3,""),IF(AND(N$15&lt;=$F94,N$15+6&gt;=$E94),IF($I94="Milestone",IF(AND(OR($D94="Complete",$D94="Submitted"),$F94&gt;Sources!$C$5),"T",2),IF(AND(OR($D94="Complete",$D94="Submitted"),N$15&gt;Sources!$C$5),4,1)),"")))</x:f>
      </x:c>
      <x:c r="O94" s="35" t="n">
        <x:f>IF(OR($E94="",$F94=""),"",IF($I94="Either date",IF(OR(AND(O$15&lt;=$E94,O$15+6&gt;=$E94),AND(O$15&lt;=$F94,O$15+6&gt;=$F94)),3,""),IF(AND(O$15&lt;=$F94,O$15+6&gt;=$E94),IF($I94="Milestone",IF(AND(OR($D94="Complete",$D94="Submitted"),$F94&gt;Sources!$C$5),"T",2),IF(AND(OR($D94="Complete",$D94="Submitted"),O$15&gt;Sources!$C$5),4,1)),"")))</x:f>
        <x:v>2</x:v>
      </x:c>
      <x:c r="P94" s="35" t="str">
        <x:f>IF(OR($E94="",$F94=""),"",IF($I94="Either date",IF(OR(AND(P$15&lt;=$E94,P$15+6&gt;=$E94),AND(P$15&lt;=$F94,P$15+6&gt;=$F94)),3,""),IF(AND(P$15&lt;=$F94,P$15+6&gt;=$E94),IF($I94="Milestone",IF(AND(OR($D94="Complete",$D94="Submitted"),$F94&gt;Sources!$C$5),"T",2),IF(AND(OR($D94="Complete",$D94="Submitted"),P$15&gt;Sources!$C$5),4,1)),"")))</x:f>
      </x:c>
      <x:c r="Q94" s="35" t="str">
        <x:f>IF(OR($E94="",$F94=""),"",IF($I94="Either date",IF(OR(AND(Q$15&lt;=$E94,Q$15+6&gt;=$E94),AND(Q$15&lt;=$F94,Q$15+6&gt;=$F94)),3,""),IF(AND(Q$15&lt;=$F94,Q$15+6&gt;=$E94),IF($I94="Milestone",IF(AND(OR($D94="Complete",$D94="Submitted"),$F94&gt;Sources!$C$5),"T",2),IF(AND(OR($D94="Complete",$D94="Submitted"),Q$15&gt;Sources!$C$5),4,1)),"")))</x:f>
      </x:c>
      <x:c r="R94" s="35" t="str">
        <x:f>IF(OR($E94="",$F94=""),"",IF($I94="Either date",IF(OR(AND(R$15&lt;=$E94,R$15+6&gt;=$E94),AND(R$15&lt;=$F94,R$15+6&gt;=$F94)),3,""),IF(AND(R$15&lt;=$F94,R$15+6&gt;=$E94),IF($I94="Milestone",IF(AND(OR($D94="Complete",$D94="Submitted"),$F94&gt;Sources!$C$5),"T",2),IF(AND(OR($D94="Complete",$D94="Submitted"),R$15&gt;Sources!$C$5),4,1)),"")))</x:f>
      </x:c>
      <x:c r="S94" s="35" t="str">
        <x:f>IF(OR($E94="",$F94=""),"",IF($I94="Either date",IF(OR(AND(S$15&lt;=$E94,S$15+6&gt;=$E94),AND(S$15&lt;=$F94,S$15+6&gt;=$F94)),3,""),IF(AND(S$15&lt;=$F94,S$15+6&gt;=$E94),IF($I94="Milestone",IF(AND(OR($D94="Complete",$D94="Submitted"),$F94&gt;Sources!$C$5),"T",2),IF(AND(OR($D94="Complete",$D94="Submitted"),S$15&gt;Sources!$C$5),4,1)),"")))</x:f>
      </x:c>
      <x:c r="T94" s="35" t="str">
        <x:f>IF(OR($E94="",$F94=""),"",IF($I94="Either date",IF(OR(AND(T$15&lt;=$E94,T$15+6&gt;=$E94),AND(T$15&lt;=$F94,T$15+6&gt;=$F94)),3,""),IF(AND(T$15&lt;=$F94,T$15+6&gt;=$E94),IF($I94="Milestone",IF(AND(OR($D94="Complete",$D94="Submitted"),$F94&gt;Sources!$C$5),"T",2),IF(AND(OR($D94="Complete",$D94="Submitted"),T$15&gt;Sources!$C$5),4,1)),"")))</x:f>
      </x:c>
      <x:c r="U94" s="2"/>
      <x:c r="V94" s="2" t="str"/>
      <x:c r="W94" s="18" t="str">
        <x:v>Course milestone</x:v>
      </x:c>
      <x:c r="X94" s="18" t="str">
        <x:v>Week 9 deadline update</x:v>
      </x:c>
    </x:row>
    <x:row r="95" ht="38" customHeight="1">
      <x:c r="A95" s="2" t="str">
        <x:v>C16</x:v>
      </x:c>
      <x:c r="B95" s="18" t="str">
        <x:v>Week 11 verification and validation progress check-in</x:v>
      </x:c>
      <x:c r="C95" s="18" t="str">
        <x:v>All four</x:v>
      </x:c>
      <x:c r="D95" s="2" t="str">
        <x:v>Planned</x:v>
      </x:c>
      <x:c r="E95" s="15" t="d">
        <x:v>2026-11-06T00:00:00.000Z</x:v>
      </x:c>
      <x:c r="F95" s="15" t="d">
        <x:v>2026-11-06T00:00:00.000Z</x:v>
      </x:c>
      <x:c r="G95" s="2" t="n">
        <x:f>IF(OR(E95="",F95="",I95="Either date"),"",IF(F95&lt;E95,"Review",F95-E95+1))</x:f>
        <x:v>1</x:v>
      </x:c>
      <x:c r="H95" s="18" t="str">
        <x:v>M5</x:v>
      </x:c>
      <x:c r="I95" s="18" t="str">
        <x:v>Milestone</x:v>
      </x:c>
      <x:c r="J95" s="35" t="str">
        <x:f>IF(OR($E95="",$F95=""),"",IF($I95="Either date",IF(OR(AND(J$15&lt;=$E95,J$15+6&gt;=$E95),AND(J$15&lt;=$F95,J$15+6&gt;=$F95)),3,""),IF(AND(J$15&lt;=$F95,J$15+6&gt;=$E95),IF($I95="Milestone",IF(AND(OR($D95="Complete",$D95="Submitted"),$F95&gt;Sources!$C$5),"T",2),IF(AND(OR($D95="Complete",$D95="Submitted"),J$15&gt;Sources!$C$5),4,1)),"")))</x:f>
      </x:c>
      <x:c r="K95" s="35" t="str">
        <x:f>IF(OR($E95="",$F95=""),"",IF($I95="Either date",IF(OR(AND(K$15&lt;=$E95,K$15+6&gt;=$E95),AND(K$15&lt;=$F95,K$15+6&gt;=$F95)),3,""),IF(AND(K$15&lt;=$F95,K$15+6&gt;=$E95),IF($I95="Milestone",IF(AND(OR($D95="Complete",$D95="Submitted"),$F95&gt;Sources!$C$5),"T",2),IF(AND(OR($D95="Complete",$D95="Submitted"),K$15&gt;Sources!$C$5),4,1)),"")))</x:f>
      </x:c>
      <x:c r="L95" s="35" t="str">
        <x:f>IF(OR($E95="",$F95=""),"",IF($I95="Either date",IF(OR(AND(L$15&lt;=$E95,L$15+6&gt;=$E95),AND(L$15&lt;=$F95,L$15+6&gt;=$F95)),3,""),IF(AND(L$15&lt;=$F95,L$15+6&gt;=$E95),IF($I95="Milestone",IF(AND(OR($D95="Complete",$D95="Submitted"),$F95&gt;Sources!$C$5),"T",2),IF(AND(OR($D95="Complete",$D95="Submitted"),L$15&gt;Sources!$C$5),4,1)),"")))</x:f>
      </x:c>
      <x:c r="M95" s="35" t="str">
        <x:f>IF(OR($E95="",$F95=""),"",IF($I95="Either date",IF(OR(AND(M$15&lt;=$E95,M$15+6&gt;=$E95),AND(M$15&lt;=$F95,M$15+6&gt;=$F95)),3,""),IF(AND(M$15&lt;=$F95,M$15+6&gt;=$E95),IF($I95="Milestone",IF(AND(OR($D95="Complete",$D95="Submitted"),$F95&gt;Sources!$C$5),"T",2),IF(AND(OR($D95="Complete",$D95="Submitted"),M$15&gt;Sources!$C$5),4,1)),"")))</x:f>
      </x:c>
      <x:c r="N95" s="35" t="str">
        <x:f>IF(OR($E95="",$F95=""),"",IF($I95="Either date",IF(OR(AND(N$15&lt;=$E95,N$15+6&gt;=$E95),AND(N$15&lt;=$F95,N$15+6&gt;=$F95)),3,""),IF(AND(N$15&lt;=$F95,N$15+6&gt;=$E95),IF($I95="Milestone",IF(AND(OR($D95="Complete",$D95="Submitted"),$F95&gt;Sources!$C$5),"T",2),IF(AND(OR($D95="Complete",$D95="Submitted"),N$15&gt;Sources!$C$5),4,1)),"")))</x:f>
      </x:c>
      <x:c r="O95" s="35" t="n">
        <x:f>IF(OR($E95="",$F95=""),"",IF($I95="Either date",IF(OR(AND(O$15&lt;=$E95,O$15+6&gt;=$E95),AND(O$15&lt;=$F95,O$15+6&gt;=$F95)),3,""),IF(AND(O$15&lt;=$F95,O$15+6&gt;=$E95),IF($I95="Milestone",IF(AND(OR($D95="Complete",$D95="Submitted"),$F95&gt;Sources!$C$5),"T",2),IF(AND(OR($D95="Complete",$D95="Submitted"),O$15&gt;Sources!$C$5),4,1)),"")))</x:f>
        <x:v>2</x:v>
      </x:c>
      <x:c r="P95" s="35" t="str">
        <x:f>IF(OR($E95="",$F95=""),"",IF($I95="Either date",IF(OR(AND(P$15&lt;=$E95,P$15+6&gt;=$E95),AND(P$15&lt;=$F95,P$15+6&gt;=$F95)),3,""),IF(AND(P$15&lt;=$F95,P$15+6&gt;=$E95),IF($I95="Milestone",IF(AND(OR($D95="Complete",$D95="Submitted"),$F95&gt;Sources!$C$5),"T",2),IF(AND(OR($D95="Complete",$D95="Submitted"),P$15&gt;Sources!$C$5),4,1)),"")))</x:f>
      </x:c>
      <x:c r="Q95" s="35" t="str">
        <x:f>IF(OR($E95="",$F95=""),"",IF($I95="Either date",IF(OR(AND(Q$15&lt;=$E95,Q$15+6&gt;=$E95),AND(Q$15&lt;=$F95,Q$15+6&gt;=$F95)),3,""),IF(AND(Q$15&lt;=$F95,Q$15+6&gt;=$E95),IF($I95="Milestone",IF(AND(OR($D95="Complete",$D95="Submitted"),$F95&gt;Sources!$C$5),"T",2),IF(AND(OR($D95="Complete",$D95="Submitted"),Q$15&gt;Sources!$C$5),4,1)),"")))</x:f>
      </x:c>
      <x:c r="R95" s="35" t="str">
        <x:f>IF(OR($E95="",$F95=""),"",IF($I95="Either date",IF(OR(AND(R$15&lt;=$E95,R$15+6&gt;=$E95),AND(R$15&lt;=$F95,R$15+6&gt;=$F95)),3,""),IF(AND(R$15&lt;=$F95,R$15+6&gt;=$E95),IF($I95="Milestone",IF(AND(OR($D95="Complete",$D95="Submitted"),$F95&gt;Sources!$C$5),"T",2),IF(AND(OR($D95="Complete",$D95="Submitted"),R$15&gt;Sources!$C$5),4,1)),"")))</x:f>
      </x:c>
      <x:c r="S95" s="35" t="str">
        <x:f>IF(OR($E95="",$F95=""),"",IF($I95="Either date",IF(OR(AND(S$15&lt;=$E95,S$15+6&gt;=$E95),AND(S$15&lt;=$F95,S$15+6&gt;=$F95)),3,""),IF(AND(S$15&lt;=$F95,S$15+6&gt;=$E95),IF($I95="Milestone",IF(AND(OR($D95="Complete",$D95="Submitted"),$F95&gt;Sources!$C$5),"T",2),IF(AND(OR($D95="Complete",$D95="Submitted"),S$15&gt;Sources!$C$5),4,1)),"")))</x:f>
      </x:c>
      <x:c r="T95" s="35" t="str">
        <x:f>IF(OR($E95="",$F95=""),"",IF($I95="Either date",IF(OR(AND(T$15&lt;=$E95,T$15+6&gt;=$E95),AND(T$15&lt;=$F95,T$15+6&gt;=$F95)),3,""),IF(AND(T$15&lt;=$F95,T$15+6&gt;=$E95),IF($I95="Milestone",IF(AND(OR($D95="Complete",$D95="Submitted"),$F95&gt;Sources!$C$5),"T",2),IF(AND(OR($D95="Complete",$D95="Submitted"),T$15&gt;Sources!$C$5),4,1)),"")))</x:f>
      </x:c>
      <x:c r="U95" s="2"/>
      <x:c r="V95" s="2" t="str">
        <x:v>Report initial lab results and work that remains.</x:v>
      </x:c>
      <x:c r="W95" s="18" t="str">
        <x:v>Course milestone</x:v>
      </x:c>
      <x:c r="X95" s="18" t="str">
        <x:v>Submitted Gantt</x:v>
      </x:c>
    </x:row>
    <x:row r="96" ht="38" customHeight="1">
      <x:c r="A96" s="36" t="str">
        <x:v>C17</x:v>
      </x:c>
      <x:c r="B96" s="37" t="str">
        <x:v>Week 11 project log</x:v>
      </x:c>
      <x:c r="C96" s="37" t="str">
        <x:v>All four</x:v>
      </x:c>
      <x:c r="D96" s="36" t="str">
        <x:v>Planned</x:v>
      </x:c>
      <x:c r="E96" s="38" t="d">
        <x:v>2026-11-06T00:00:00.000Z</x:v>
      </x:c>
      <x:c r="F96" s="38" t="d">
        <x:v>2026-11-06T00:00:00.000Z</x:v>
      </x:c>
      <x:c r="G96" s="36" t="n">
        <x:f>IF(OR(E96="",F96="",I96="Either date"),"",IF(F96&lt;E96,"Review",F96-E96+1))</x:f>
        <x:v>1</x:v>
      </x:c>
      <x:c r="H96" s="37" t="str">
        <x:v>L11</x:v>
      </x:c>
      <x:c r="I96" s="37" t="str">
        <x:v>Milestone</x:v>
      </x:c>
      <x:c r="J96" s="35" t="str">
        <x:f>IF(OR($E96="",$F96=""),"",IF($I96="Either date",IF(OR(AND(J$15&lt;=$E96,J$15+6&gt;=$E96),AND(J$15&lt;=$F96,J$15+6&gt;=$F96)),3,""),IF(AND(J$15&lt;=$F96,J$15+6&gt;=$E96),IF($I96="Milestone",IF(AND(OR($D96="Complete",$D96="Submitted"),$F96&gt;Sources!$C$5),"T",2),IF(AND(OR($D96="Complete",$D96="Submitted"),J$15&gt;Sources!$C$5),4,1)),"")))</x:f>
      </x:c>
      <x:c r="K96" s="35" t="str">
        <x:f>IF(OR($E96="",$F96=""),"",IF($I96="Either date",IF(OR(AND(K$15&lt;=$E96,K$15+6&gt;=$E96),AND(K$15&lt;=$F96,K$15+6&gt;=$F96)),3,""),IF(AND(K$15&lt;=$F96,K$15+6&gt;=$E96),IF($I96="Milestone",IF(AND(OR($D96="Complete",$D96="Submitted"),$F96&gt;Sources!$C$5),"T",2),IF(AND(OR($D96="Complete",$D96="Submitted"),K$15&gt;Sources!$C$5),4,1)),"")))</x:f>
      </x:c>
      <x:c r="L96" s="35" t="str">
        <x:f>IF(OR($E96="",$F96=""),"",IF($I96="Either date",IF(OR(AND(L$15&lt;=$E96,L$15+6&gt;=$E96),AND(L$15&lt;=$F96,L$15+6&gt;=$F96)),3,""),IF(AND(L$15&lt;=$F96,L$15+6&gt;=$E96),IF($I96="Milestone",IF(AND(OR($D96="Complete",$D96="Submitted"),$F96&gt;Sources!$C$5),"T",2),IF(AND(OR($D96="Complete",$D96="Submitted"),L$15&gt;Sources!$C$5),4,1)),"")))</x:f>
      </x:c>
      <x:c r="M96" s="35" t="str">
        <x:f>IF(OR($E96="",$F96=""),"",IF($I96="Either date",IF(OR(AND(M$15&lt;=$E96,M$15+6&gt;=$E96),AND(M$15&lt;=$F96,M$15+6&gt;=$F96)),3,""),IF(AND(M$15&lt;=$F96,M$15+6&gt;=$E96),IF($I96="Milestone",IF(AND(OR($D96="Complete",$D96="Submitted"),$F96&gt;Sources!$C$5),"T",2),IF(AND(OR($D96="Complete",$D96="Submitted"),M$15&gt;Sources!$C$5),4,1)),"")))</x:f>
      </x:c>
      <x:c r="N96" s="35" t="str">
        <x:f>IF(OR($E96="",$F96=""),"",IF($I96="Either date",IF(OR(AND(N$15&lt;=$E96,N$15+6&gt;=$E96),AND(N$15&lt;=$F96,N$15+6&gt;=$F96)),3,""),IF(AND(N$15&lt;=$F96,N$15+6&gt;=$E96),IF($I96="Milestone",IF(AND(OR($D96="Complete",$D96="Submitted"),$F96&gt;Sources!$C$5),"T",2),IF(AND(OR($D96="Complete",$D96="Submitted"),N$15&gt;Sources!$C$5),4,1)),"")))</x:f>
      </x:c>
      <x:c r="O96" s="35" t="n">
        <x:f>IF(OR($E96="",$F96=""),"",IF($I96="Either date",IF(OR(AND(O$15&lt;=$E96,O$15+6&gt;=$E96),AND(O$15&lt;=$F96,O$15+6&gt;=$F96)),3,""),IF(AND(O$15&lt;=$F96,O$15+6&gt;=$E96),IF($I96="Milestone",IF(AND(OR($D96="Complete",$D96="Submitted"),$F96&gt;Sources!$C$5),"T",2),IF(AND(OR($D96="Complete",$D96="Submitted"),O$15&gt;Sources!$C$5),4,1)),"")))</x:f>
        <x:v>2</x:v>
      </x:c>
      <x:c r="P96" s="35" t="str">
        <x:f>IF(OR($E96="",$F96=""),"",IF($I96="Either date",IF(OR(AND(P$15&lt;=$E96,P$15+6&gt;=$E96),AND(P$15&lt;=$F96,P$15+6&gt;=$F96)),3,""),IF(AND(P$15&lt;=$F96,P$15+6&gt;=$E96),IF($I96="Milestone",IF(AND(OR($D96="Complete",$D96="Submitted"),$F96&gt;Sources!$C$5),"T",2),IF(AND(OR($D96="Complete",$D96="Submitted"),P$15&gt;Sources!$C$5),4,1)),"")))</x:f>
      </x:c>
      <x:c r="Q96" s="35" t="str">
        <x:f>IF(OR($E96="",$F96=""),"",IF($I96="Either date",IF(OR(AND(Q$15&lt;=$E96,Q$15+6&gt;=$E96),AND(Q$15&lt;=$F96,Q$15+6&gt;=$F96)),3,""),IF(AND(Q$15&lt;=$F96,Q$15+6&gt;=$E96),IF($I96="Milestone",IF(AND(OR($D96="Complete",$D96="Submitted"),$F96&gt;Sources!$C$5),"T",2),IF(AND(OR($D96="Complete",$D96="Submitted"),Q$15&gt;Sources!$C$5),4,1)),"")))</x:f>
      </x:c>
      <x:c r="R96" s="35" t="str">
        <x:f>IF(OR($E96="",$F96=""),"",IF($I96="Either date",IF(OR(AND(R$15&lt;=$E96,R$15+6&gt;=$E96),AND(R$15&lt;=$F96,R$15+6&gt;=$F96)),3,""),IF(AND(R$15&lt;=$F96,R$15+6&gt;=$E96),IF($I96="Milestone",IF(AND(OR($D96="Complete",$D96="Submitted"),$F96&gt;Sources!$C$5),"T",2),IF(AND(OR($D96="Complete",$D96="Submitted"),R$15&gt;Sources!$C$5),4,1)),"")))</x:f>
      </x:c>
      <x:c r="S96" s="35" t="str">
        <x:f>IF(OR($E96="",$F96=""),"",IF($I96="Either date",IF(OR(AND(S$15&lt;=$E96,S$15+6&gt;=$E96),AND(S$15&lt;=$F96,S$15+6&gt;=$F96)),3,""),IF(AND(S$15&lt;=$F96,S$15+6&gt;=$E96),IF($I96="Milestone",IF(AND(OR($D96="Complete",$D96="Submitted"),$F96&gt;Sources!$C$5),"T",2),IF(AND(OR($D96="Complete",$D96="Submitted"),S$15&gt;Sources!$C$5),4,1)),"")))</x:f>
      </x:c>
      <x:c r="T96" s="35" t="str">
        <x:f>IF(OR($E96="",$F96=""),"",IF($I96="Either date",IF(OR(AND(T$15&lt;=$E96,T$15+6&gt;=$E96),AND(T$15&lt;=$F96,T$15+6&gt;=$F96)),3,""),IF(AND(T$15&lt;=$F96,T$15+6&gt;=$E96),IF($I96="Milestone",IF(AND(OR($D96="Complete",$D96="Submitted"),$F96&gt;Sources!$C$5),"T",2),IF(AND(OR($D96="Complete",$D96="Submitted"),T$15&gt;Sources!$C$5),4,1)),"")))</x:f>
      </x:c>
      <x:c r="U96" s="2"/>
      <x:c r="V96" s="2" t="str"/>
      <x:c r="W96" s="18" t="str">
        <x:v>Course milestone</x:v>
      </x:c>
      <x:c r="X96" s="18" t="str">
        <x:v>Submitted Gantt</x:v>
      </x:c>
    </x:row>
    <x:row r="97" ht="38" customHeight="1">
      <x:c r="A97" s="2" t="str">
        <x:v>C18</x:v>
      </x:c>
      <x:c r="B97" s="18" t="str">
        <x:v>Validation Testing Checkpoint</x:v>
      </x:c>
      <x:c r="C97" s="18" t="str">
        <x:v>All four</x:v>
      </x:c>
      <x:c r="D97" s="2" t="str">
        <x:v>Planned</x:v>
      </x:c>
      <x:c r="E97" s="15" t="d">
        <x:v>2026-11-09T00:00:00.000Z</x:v>
      </x:c>
      <x:c r="F97" s="15" t="d">
        <x:v>2026-11-09T00:00:00.000Z</x:v>
      </x:c>
      <x:c r="G97" s="2" t="n">
        <x:f>IF(OR(E97="",F97="",I97="Either date"),"",IF(F97&lt;E97,"Review",F97-E97+1))</x:f>
        <x:v>1</x:v>
      </x:c>
      <x:c r="H97" s="18" t="str">
        <x:v>V4</x:v>
      </x:c>
      <x:c r="I97" s="18" t="str">
        <x:v>Milestone</x:v>
      </x:c>
      <x:c r="J97" s="35" t="str">
        <x:f>IF(OR($E97="",$F97=""),"",IF($I97="Either date",IF(OR(AND(J$15&lt;=$E97,J$15+6&gt;=$E97),AND(J$15&lt;=$F97,J$15+6&gt;=$F97)),3,""),IF(AND(J$15&lt;=$F97,J$15+6&gt;=$E97),IF($I97="Milestone",IF(AND(OR($D97="Complete",$D97="Submitted"),$F97&gt;Sources!$C$5),"T",2),IF(AND(OR($D97="Complete",$D97="Submitted"),J$15&gt;Sources!$C$5),4,1)),"")))</x:f>
      </x:c>
      <x:c r="K97" s="35" t="str">
        <x:f>IF(OR($E97="",$F97=""),"",IF($I97="Either date",IF(OR(AND(K$15&lt;=$E97,K$15+6&gt;=$E97),AND(K$15&lt;=$F97,K$15+6&gt;=$F97)),3,""),IF(AND(K$15&lt;=$F97,K$15+6&gt;=$E97),IF($I97="Milestone",IF(AND(OR($D97="Complete",$D97="Submitted"),$F97&gt;Sources!$C$5),"T",2),IF(AND(OR($D97="Complete",$D97="Submitted"),K$15&gt;Sources!$C$5),4,1)),"")))</x:f>
      </x:c>
      <x:c r="L97" s="35" t="str">
        <x:f>IF(OR($E97="",$F97=""),"",IF($I97="Either date",IF(OR(AND(L$15&lt;=$E97,L$15+6&gt;=$E97),AND(L$15&lt;=$F97,L$15+6&gt;=$F97)),3,""),IF(AND(L$15&lt;=$F97,L$15+6&gt;=$E97),IF($I97="Milestone",IF(AND(OR($D97="Complete",$D97="Submitted"),$F97&gt;Sources!$C$5),"T",2),IF(AND(OR($D97="Complete",$D97="Submitted"),L$15&gt;Sources!$C$5),4,1)),"")))</x:f>
      </x:c>
      <x:c r="M97" s="35" t="str">
        <x:f>IF(OR($E97="",$F97=""),"",IF($I97="Either date",IF(OR(AND(M$15&lt;=$E97,M$15+6&gt;=$E97),AND(M$15&lt;=$F97,M$15+6&gt;=$F97)),3,""),IF(AND(M$15&lt;=$F97,M$15+6&gt;=$E97),IF($I97="Milestone",IF(AND(OR($D97="Complete",$D97="Submitted"),$F97&gt;Sources!$C$5),"T",2),IF(AND(OR($D97="Complete",$D97="Submitted"),M$15&gt;Sources!$C$5),4,1)),"")))</x:f>
      </x:c>
      <x:c r="N97" s="35" t="str">
        <x:f>IF(OR($E97="",$F97=""),"",IF($I97="Either date",IF(OR(AND(N$15&lt;=$E97,N$15+6&gt;=$E97),AND(N$15&lt;=$F97,N$15+6&gt;=$F97)),3,""),IF(AND(N$15&lt;=$F97,N$15+6&gt;=$E97),IF($I97="Milestone",IF(AND(OR($D97="Complete",$D97="Submitted"),$F97&gt;Sources!$C$5),"T",2),IF(AND(OR($D97="Complete",$D97="Submitted"),N$15&gt;Sources!$C$5),4,1)),"")))</x:f>
      </x:c>
      <x:c r="O97" s="35" t="str">
        <x:f>IF(OR($E97="",$F97=""),"",IF($I97="Either date",IF(OR(AND(O$15&lt;=$E97,O$15+6&gt;=$E97),AND(O$15&lt;=$F97,O$15+6&gt;=$F97)),3,""),IF(AND(O$15&lt;=$F97,O$15+6&gt;=$E97),IF($I97="Milestone",IF(AND(OR($D97="Complete",$D97="Submitted"),$F97&gt;Sources!$C$5),"T",2),IF(AND(OR($D97="Complete",$D97="Submitted"),O$15&gt;Sources!$C$5),4,1)),"")))</x:f>
      </x:c>
      <x:c r="P97" s="35" t="n">
        <x:f>IF(OR($E97="",$F97=""),"",IF($I97="Either date",IF(OR(AND(P$15&lt;=$E97,P$15+6&gt;=$E97),AND(P$15&lt;=$F97,P$15+6&gt;=$F97)),3,""),IF(AND(P$15&lt;=$F97,P$15+6&gt;=$E97),IF($I97="Milestone",IF(AND(OR($D97="Complete",$D97="Submitted"),$F97&gt;Sources!$C$5),"T",2),IF(AND(OR($D97="Complete",$D97="Submitted"),P$15&gt;Sources!$C$5),4,1)),"")))</x:f>
        <x:v>2</x:v>
      </x:c>
      <x:c r="Q97" s="35" t="str">
        <x:f>IF(OR($E97="",$F97=""),"",IF($I97="Either date",IF(OR(AND(Q$15&lt;=$E97,Q$15+6&gt;=$E97),AND(Q$15&lt;=$F97,Q$15+6&gt;=$F97)),3,""),IF(AND(Q$15&lt;=$F97,Q$15+6&gt;=$E97),IF($I97="Milestone",IF(AND(OR($D97="Complete",$D97="Submitted"),$F97&gt;Sources!$C$5),"T",2),IF(AND(OR($D97="Complete",$D97="Submitted"),Q$15&gt;Sources!$C$5),4,1)),"")))</x:f>
      </x:c>
      <x:c r="R97" s="35" t="str">
        <x:f>IF(OR($E97="",$F97=""),"",IF($I97="Either date",IF(OR(AND(R$15&lt;=$E97,R$15+6&gt;=$E97),AND(R$15&lt;=$F97,R$15+6&gt;=$F97)),3,""),IF(AND(R$15&lt;=$F97,R$15+6&gt;=$E97),IF($I97="Milestone",IF(AND(OR($D97="Complete",$D97="Submitted"),$F97&gt;Sources!$C$5),"T",2),IF(AND(OR($D97="Complete",$D97="Submitted"),R$15&gt;Sources!$C$5),4,1)),"")))</x:f>
      </x:c>
      <x:c r="S97" s="35" t="str">
        <x:f>IF(OR($E97="",$F97=""),"",IF($I97="Either date",IF(OR(AND(S$15&lt;=$E97,S$15+6&gt;=$E97),AND(S$15&lt;=$F97,S$15+6&gt;=$F97)),3,""),IF(AND(S$15&lt;=$F97,S$15+6&gt;=$E97),IF($I97="Milestone",IF(AND(OR($D97="Complete",$D97="Submitted"),$F97&gt;Sources!$C$5),"T",2),IF(AND(OR($D97="Complete",$D97="Submitted"),S$15&gt;Sources!$C$5),4,1)),"")))</x:f>
      </x:c>
      <x:c r="T97" s="35" t="str">
        <x:f>IF(OR($E97="",$F97=""),"",IF($I97="Either date",IF(OR(AND(T$15&lt;=$E97,T$15+6&gt;=$E97),AND(T$15&lt;=$F97,T$15+6&gt;=$F97)),3,""),IF(AND(T$15&lt;=$F97,T$15+6&gt;=$E97),IF($I97="Milestone",IF(AND(OR($D97="Complete",$D97="Submitted"),$F97&gt;Sources!$C$5),"T",2),IF(AND(OR($D97="Complete",$D97="Submitted"),T$15&gt;Sources!$C$5),4,1)),"")))</x:f>
      </x:c>
      <x:c r="U97" s="2"/>
      <x:c r="V97" s="2" t="str">
        <x:v>Report available evidence and the status of stakeholder review.</x:v>
      </x:c>
      <x:c r="W97" s="18" t="str">
        <x:v>Course milestone</x:v>
      </x:c>
      <x:c r="X97" s="18" t="str">
        <x:v>Submitted Gantt</x:v>
      </x:c>
    </x:row>
    <x:row r="98" ht="38" customHeight="1">
      <x:c r="A98" s="36" t="str">
        <x:v>C19</x:v>
      </x:c>
      <x:c r="B98" s="37" t="str">
        <x:v>Week 12 Team Progress Check-In: Data Analysis</x:v>
      </x:c>
      <x:c r="C98" s="37" t="str">
        <x:v>All four</x:v>
      </x:c>
      <x:c r="D98" s="36" t="str">
        <x:v>Planned</x:v>
      </x:c>
      <x:c r="E98" s="38" t="d">
        <x:v>2026-11-13T00:00:00.000Z</x:v>
      </x:c>
      <x:c r="F98" s="38" t="d">
        <x:v>2026-11-13T00:00:00.000Z</x:v>
      </x:c>
      <x:c r="G98" s="36" t="n">
        <x:f>IF(OR(E98="",F98="",I98="Either date"),"",IF(F98&lt;E98,"Review",F98-E98+1))</x:f>
        <x:v>1</x:v>
      </x:c>
      <x:c r="H98" s="37" t="str">
        <x:v>V5</x:v>
      </x:c>
      <x:c r="I98" s="37" t="str">
        <x:v>Milestone</x:v>
      </x:c>
      <x:c r="J98" s="35" t="str">
        <x:f>IF(OR($E98="",$F98=""),"",IF($I98="Either date",IF(OR(AND(J$15&lt;=$E98,J$15+6&gt;=$E98),AND(J$15&lt;=$F98,J$15+6&gt;=$F98)),3,""),IF(AND(J$15&lt;=$F98,J$15+6&gt;=$E98),IF($I98="Milestone",IF(AND(OR($D98="Complete",$D98="Submitted"),$F98&gt;Sources!$C$5),"T",2),IF(AND(OR($D98="Complete",$D98="Submitted"),J$15&gt;Sources!$C$5),4,1)),"")))</x:f>
      </x:c>
      <x:c r="K98" s="35" t="str">
        <x:f>IF(OR($E98="",$F98=""),"",IF($I98="Either date",IF(OR(AND(K$15&lt;=$E98,K$15+6&gt;=$E98),AND(K$15&lt;=$F98,K$15+6&gt;=$F98)),3,""),IF(AND(K$15&lt;=$F98,K$15+6&gt;=$E98),IF($I98="Milestone",IF(AND(OR($D98="Complete",$D98="Submitted"),$F98&gt;Sources!$C$5),"T",2),IF(AND(OR($D98="Complete",$D98="Submitted"),K$15&gt;Sources!$C$5),4,1)),"")))</x:f>
      </x:c>
      <x:c r="L98" s="35" t="str">
        <x:f>IF(OR($E98="",$F98=""),"",IF($I98="Either date",IF(OR(AND(L$15&lt;=$E98,L$15+6&gt;=$E98),AND(L$15&lt;=$F98,L$15+6&gt;=$F98)),3,""),IF(AND(L$15&lt;=$F98,L$15+6&gt;=$E98),IF($I98="Milestone",IF(AND(OR($D98="Complete",$D98="Submitted"),$F98&gt;Sources!$C$5),"T",2),IF(AND(OR($D98="Complete",$D98="Submitted"),L$15&gt;Sources!$C$5),4,1)),"")))</x:f>
      </x:c>
      <x:c r="M98" s="35" t="str">
        <x:f>IF(OR($E98="",$F98=""),"",IF($I98="Either date",IF(OR(AND(M$15&lt;=$E98,M$15+6&gt;=$E98),AND(M$15&lt;=$F98,M$15+6&gt;=$F98)),3,""),IF(AND(M$15&lt;=$F98,M$15+6&gt;=$E98),IF($I98="Milestone",IF(AND(OR($D98="Complete",$D98="Submitted"),$F98&gt;Sources!$C$5),"T",2),IF(AND(OR($D98="Complete",$D98="Submitted"),M$15&gt;Sources!$C$5),4,1)),"")))</x:f>
      </x:c>
      <x:c r="N98" s="35" t="str">
        <x:f>IF(OR($E98="",$F98=""),"",IF($I98="Either date",IF(OR(AND(N$15&lt;=$E98,N$15+6&gt;=$E98),AND(N$15&lt;=$F98,N$15+6&gt;=$F98)),3,""),IF(AND(N$15&lt;=$F98,N$15+6&gt;=$E98),IF($I98="Milestone",IF(AND(OR($D98="Complete",$D98="Submitted"),$F98&gt;Sources!$C$5),"T",2),IF(AND(OR($D98="Complete",$D98="Submitted"),N$15&gt;Sources!$C$5),4,1)),"")))</x:f>
      </x:c>
      <x:c r="O98" s="35" t="str">
        <x:f>IF(OR($E98="",$F98=""),"",IF($I98="Either date",IF(OR(AND(O$15&lt;=$E98,O$15+6&gt;=$E98),AND(O$15&lt;=$F98,O$15+6&gt;=$F98)),3,""),IF(AND(O$15&lt;=$F98,O$15+6&gt;=$E98),IF($I98="Milestone",IF(AND(OR($D98="Complete",$D98="Submitted"),$F98&gt;Sources!$C$5),"T",2),IF(AND(OR($D98="Complete",$D98="Submitted"),O$15&gt;Sources!$C$5),4,1)),"")))</x:f>
      </x:c>
      <x:c r="P98" s="35" t="n">
        <x:f>IF(OR($E98="",$F98=""),"",IF($I98="Either date",IF(OR(AND(P$15&lt;=$E98,P$15+6&gt;=$E98),AND(P$15&lt;=$F98,P$15+6&gt;=$F98)),3,""),IF(AND(P$15&lt;=$F98,P$15+6&gt;=$E98),IF($I98="Milestone",IF(AND(OR($D98="Complete",$D98="Submitted"),$F98&gt;Sources!$C$5),"T",2),IF(AND(OR($D98="Complete",$D98="Submitted"),P$15&gt;Sources!$C$5),4,1)),"")))</x:f>
        <x:v>2</x:v>
      </x:c>
      <x:c r="Q98" s="35" t="str">
        <x:f>IF(OR($E98="",$F98=""),"",IF($I98="Either date",IF(OR(AND(Q$15&lt;=$E98,Q$15+6&gt;=$E98),AND(Q$15&lt;=$F98,Q$15+6&gt;=$F98)),3,""),IF(AND(Q$15&lt;=$F98,Q$15+6&gt;=$E98),IF($I98="Milestone",IF(AND(OR($D98="Complete",$D98="Submitted"),$F98&gt;Sources!$C$5),"T",2),IF(AND(OR($D98="Complete",$D98="Submitted"),Q$15&gt;Sources!$C$5),4,1)),"")))</x:f>
      </x:c>
      <x:c r="R98" s="35" t="str">
        <x:f>IF(OR($E98="",$F98=""),"",IF($I98="Either date",IF(OR(AND(R$15&lt;=$E98,R$15+6&gt;=$E98),AND(R$15&lt;=$F98,R$15+6&gt;=$F98)),3,""),IF(AND(R$15&lt;=$F98,R$15+6&gt;=$E98),IF($I98="Milestone",IF(AND(OR($D98="Complete",$D98="Submitted"),$F98&gt;Sources!$C$5),"T",2),IF(AND(OR($D98="Complete",$D98="Submitted"),R$15&gt;Sources!$C$5),4,1)),"")))</x:f>
      </x:c>
      <x:c r="S98" s="35" t="str">
        <x:f>IF(OR($E98="",$F98=""),"",IF($I98="Either date",IF(OR(AND(S$15&lt;=$E98,S$15+6&gt;=$E98),AND(S$15&lt;=$F98,S$15+6&gt;=$F98)),3,""),IF(AND(S$15&lt;=$F98,S$15+6&gt;=$E98),IF($I98="Milestone",IF(AND(OR($D98="Complete",$D98="Submitted"),$F98&gt;Sources!$C$5),"T",2),IF(AND(OR($D98="Complete",$D98="Submitted"),S$15&gt;Sources!$C$5),4,1)),"")))</x:f>
      </x:c>
      <x:c r="T98" s="35" t="str">
        <x:f>IF(OR($E98="",$F98=""),"",IF($I98="Either date",IF(OR(AND(T$15&lt;=$E98,T$15+6&gt;=$E98),AND(T$15&lt;=$F98,T$15+6&gt;=$F98)),3,""),IF(AND(T$15&lt;=$F98,T$15+6&gt;=$E98),IF($I98="Milestone",IF(AND(OR($D98="Complete",$D98="Submitted"),$F98&gt;Sources!$C$5),"T",2),IF(AND(OR($D98="Complete",$D98="Submitted"),T$15&gt;Sources!$C$5),4,1)),"")))</x:f>
      </x:c>
      <x:c r="U98" s="2"/>
      <x:c r="V98" s="2" t="str"/>
      <x:c r="W98" s="18" t="str">
        <x:v>Course milestone</x:v>
      </x:c>
      <x:c r="X98" s="18" t="str">
        <x:v>Submitted Gantt</x:v>
      </x:c>
    </x:row>
    <x:row r="99" ht="38" customHeight="1">
      <x:c r="A99" s="2" t="str">
        <x:v>C20</x:v>
      </x:c>
      <x:c r="B99" s="18" t="str">
        <x:v>Week 12 project log</x:v>
      </x:c>
      <x:c r="C99" s="18" t="str">
        <x:v>All four</x:v>
      </x:c>
      <x:c r="D99" s="2" t="str">
        <x:v>Planned</x:v>
      </x:c>
      <x:c r="E99" s="15" t="d">
        <x:v>2026-11-13T00:00:00.000Z</x:v>
      </x:c>
      <x:c r="F99" s="15" t="d">
        <x:v>2026-11-13T00:00:00.000Z</x:v>
      </x:c>
      <x:c r="G99" s="2" t="n">
        <x:f>IF(OR(E99="",F99="",I99="Either date"),"",IF(F99&lt;E99,"Review",F99-E99+1))</x:f>
        <x:v>1</x:v>
      </x:c>
      <x:c r="H99" s="18" t="str">
        <x:v>L12</x:v>
      </x:c>
      <x:c r="I99" s="18" t="str">
        <x:v>Milestone</x:v>
      </x:c>
      <x:c r="J99" s="35" t="str">
        <x:f>IF(OR($E99="",$F99=""),"",IF($I99="Either date",IF(OR(AND(J$15&lt;=$E99,J$15+6&gt;=$E99),AND(J$15&lt;=$F99,J$15+6&gt;=$F99)),3,""),IF(AND(J$15&lt;=$F99,J$15+6&gt;=$E99),IF($I99="Milestone",IF(AND(OR($D99="Complete",$D99="Submitted"),$F99&gt;Sources!$C$5),"T",2),IF(AND(OR($D99="Complete",$D99="Submitted"),J$15&gt;Sources!$C$5),4,1)),"")))</x:f>
      </x:c>
      <x:c r="K99" s="35" t="str">
        <x:f>IF(OR($E99="",$F99=""),"",IF($I99="Either date",IF(OR(AND(K$15&lt;=$E99,K$15+6&gt;=$E99),AND(K$15&lt;=$F99,K$15+6&gt;=$F99)),3,""),IF(AND(K$15&lt;=$F99,K$15+6&gt;=$E99),IF($I99="Milestone",IF(AND(OR($D99="Complete",$D99="Submitted"),$F99&gt;Sources!$C$5),"T",2),IF(AND(OR($D99="Complete",$D99="Submitted"),K$15&gt;Sources!$C$5),4,1)),"")))</x:f>
      </x:c>
      <x:c r="L99" s="35" t="str">
        <x:f>IF(OR($E99="",$F99=""),"",IF($I99="Either date",IF(OR(AND(L$15&lt;=$E99,L$15+6&gt;=$E99),AND(L$15&lt;=$F99,L$15+6&gt;=$F99)),3,""),IF(AND(L$15&lt;=$F99,L$15+6&gt;=$E99),IF($I99="Milestone",IF(AND(OR($D99="Complete",$D99="Submitted"),$F99&gt;Sources!$C$5),"T",2),IF(AND(OR($D99="Complete",$D99="Submitted"),L$15&gt;Sources!$C$5),4,1)),"")))</x:f>
      </x:c>
      <x:c r="M99" s="35" t="str">
        <x:f>IF(OR($E99="",$F99=""),"",IF($I99="Either date",IF(OR(AND(M$15&lt;=$E99,M$15+6&gt;=$E99),AND(M$15&lt;=$F99,M$15+6&gt;=$F99)),3,""),IF(AND(M$15&lt;=$F99,M$15+6&gt;=$E99),IF($I99="Milestone",IF(AND(OR($D99="Complete",$D99="Submitted"),$F99&gt;Sources!$C$5),"T",2),IF(AND(OR($D99="Complete",$D99="Submitted"),M$15&gt;Sources!$C$5),4,1)),"")))</x:f>
      </x:c>
      <x:c r="N99" s="35" t="str">
        <x:f>IF(OR($E99="",$F99=""),"",IF($I99="Either date",IF(OR(AND(N$15&lt;=$E99,N$15+6&gt;=$E99),AND(N$15&lt;=$F99,N$15+6&gt;=$F99)),3,""),IF(AND(N$15&lt;=$F99,N$15+6&gt;=$E99),IF($I99="Milestone",IF(AND(OR($D99="Complete",$D99="Submitted"),$F99&gt;Sources!$C$5),"T",2),IF(AND(OR($D99="Complete",$D99="Submitted"),N$15&gt;Sources!$C$5),4,1)),"")))</x:f>
      </x:c>
      <x:c r="O99" s="35" t="str">
        <x:f>IF(OR($E99="",$F99=""),"",IF($I99="Either date",IF(OR(AND(O$15&lt;=$E99,O$15+6&gt;=$E99),AND(O$15&lt;=$F99,O$15+6&gt;=$F99)),3,""),IF(AND(O$15&lt;=$F99,O$15+6&gt;=$E99),IF($I99="Milestone",IF(AND(OR($D99="Complete",$D99="Submitted"),$F99&gt;Sources!$C$5),"T",2),IF(AND(OR($D99="Complete",$D99="Submitted"),O$15&gt;Sources!$C$5),4,1)),"")))</x:f>
      </x:c>
      <x:c r="P99" s="35" t="n">
        <x:f>IF(OR($E99="",$F99=""),"",IF($I99="Either date",IF(OR(AND(P$15&lt;=$E99,P$15+6&gt;=$E99),AND(P$15&lt;=$F99,P$15+6&gt;=$F99)),3,""),IF(AND(P$15&lt;=$F99,P$15+6&gt;=$E99),IF($I99="Milestone",IF(AND(OR($D99="Complete",$D99="Submitted"),$F99&gt;Sources!$C$5),"T",2),IF(AND(OR($D99="Complete",$D99="Submitted"),P$15&gt;Sources!$C$5),4,1)),"")))</x:f>
        <x:v>2</x:v>
      </x:c>
      <x:c r="Q99" s="35" t="str">
        <x:f>IF(OR($E99="",$F99=""),"",IF($I99="Either date",IF(OR(AND(Q$15&lt;=$E99,Q$15+6&gt;=$E99),AND(Q$15&lt;=$F99,Q$15+6&gt;=$F99)),3,""),IF(AND(Q$15&lt;=$F99,Q$15+6&gt;=$E99),IF($I99="Milestone",IF(AND(OR($D99="Complete",$D99="Submitted"),$F99&gt;Sources!$C$5),"T",2),IF(AND(OR($D99="Complete",$D99="Submitted"),Q$15&gt;Sources!$C$5),4,1)),"")))</x:f>
      </x:c>
      <x:c r="R99" s="35" t="str">
        <x:f>IF(OR($E99="",$F99=""),"",IF($I99="Either date",IF(OR(AND(R$15&lt;=$E99,R$15+6&gt;=$E99),AND(R$15&lt;=$F99,R$15+6&gt;=$F99)),3,""),IF(AND(R$15&lt;=$F99,R$15+6&gt;=$E99),IF($I99="Milestone",IF(AND(OR($D99="Complete",$D99="Submitted"),$F99&gt;Sources!$C$5),"T",2),IF(AND(OR($D99="Complete",$D99="Submitted"),R$15&gt;Sources!$C$5),4,1)),"")))</x:f>
      </x:c>
      <x:c r="S99" s="35" t="str">
        <x:f>IF(OR($E99="",$F99=""),"",IF($I99="Either date",IF(OR(AND(S$15&lt;=$E99,S$15+6&gt;=$E99),AND(S$15&lt;=$F99,S$15+6&gt;=$F99)),3,""),IF(AND(S$15&lt;=$F99,S$15+6&gt;=$E99),IF($I99="Milestone",IF(AND(OR($D99="Complete",$D99="Submitted"),$F99&gt;Sources!$C$5),"T",2),IF(AND(OR($D99="Complete",$D99="Submitted"),S$15&gt;Sources!$C$5),4,1)),"")))</x:f>
      </x:c>
      <x:c r="T99" s="35" t="str">
        <x:f>IF(OR($E99="",$F99=""),"",IF($I99="Either date",IF(OR(AND(T$15&lt;=$E99,T$15+6&gt;=$E99),AND(T$15&lt;=$F99,T$15+6&gt;=$F99)),3,""),IF(AND(T$15&lt;=$F99,T$15+6&gt;=$E99),IF($I99="Milestone",IF(AND(OR($D99="Complete",$D99="Submitted"),$F99&gt;Sources!$C$5),"T",2),IF(AND(OR($D99="Complete",$D99="Submitted"),T$15&gt;Sources!$C$5),4,1)),"")))</x:f>
      </x:c>
      <x:c r="U99" s="2"/>
      <x:c r="V99" s="2" t="str"/>
      <x:c r="W99" s="18" t="str">
        <x:v>Course milestone</x:v>
      </x:c>
      <x:c r="X99" s="18" t="str">
        <x:v>Submitted Gantt</x:v>
      </x:c>
    </x:row>
    <x:row r="100" ht="38" customHeight="1">
      <x:c r="A100" s="36" t="str">
        <x:v>C21</x:v>
      </x:c>
      <x:c r="B100" s="37" t="str">
        <x:v>Data Analysis Checkpoint</x:v>
      </x:c>
      <x:c r="C100" s="37" t="str">
        <x:v>All four</x:v>
      </x:c>
      <x:c r="D100" s="36" t="str">
        <x:v>Planned</x:v>
      </x:c>
      <x:c r="E100" s="38" t="d">
        <x:v>2026-11-16T00:00:00.000Z</x:v>
      </x:c>
      <x:c r="F100" s="38" t="d">
        <x:v>2026-11-16T00:00:00.000Z</x:v>
      </x:c>
      <x:c r="G100" s="36" t="n">
        <x:f>IF(OR(E100="",F100="",I100="Either date"),"",IF(F100&lt;E100,"Review",F100-E100+1))</x:f>
        <x:v>1</x:v>
      </x:c>
      <x:c r="H100" s="37" t="str">
        <x:v>V6</x:v>
      </x:c>
      <x:c r="I100" s="37" t="str">
        <x:v>Milestone</x:v>
      </x:c>
      <x:c r="J100" s="35" t="str">
        <x:f>IF(OR($E100="",$F100=""),"",IF($I100="Either date",IF(OR(AND(J$15&lt;=$E100,J$15+6&gt;=$E100),AND(J$15&lt;=$F100,J$15+6&gt;=$F100)),3,""),IF(AND(J$15&lt;=$F100,J$15+6&gt;=$E100),IF($I100="Milestone",IF(AND(OR($D100="Complete",$D100="Submitted"),$F100&gt;Sources!$C$5),"T",2),IF(AND(OR($D100="Complete",$D100="Submitted"),J$15&gt;Sources!$C$5),4,1)),"")))</x:f>
      </x:c>
      <x:c r="K100" s="35" t="str">
        <x:f>IF(OR($E100="",$F100=""),"",IF($I100="Either date",IF(OR(AND(K$15&lt;=$E100,K$15+6&gt;=$E100),AND(K$15&lt;=$F100,K$15+6&gt;=$F100)),3,""),IF(AND(K$15&lt;=$F100,K$15+6&gt;=$E100),IF($I100="Milestone",IF(AND(OR($D100="Complete",$D100="Submitted"),$F100&gt;Sources!$C$5),"T",2),IF(AND(OR($D100="Complete",$D100="Submitted"),K$15&gt;Sources!$C$5),4,1)),"")))</x:f>
      </x:c>
      <x:c r="L100" s="35" t="str">
        <x:f>IF(OR($E100="",$F100=""),"",IF($I100="Either date",IF(OR(AND(L$15&lt;=$E100,L$15+6&gt;=$E100),AND(L$15&lt;=$F100,L$15+6&gt;=$F100)),3,""),IF(AND(L$15&lt;=$F100,L$15+6&gt;=$E100),IF($I100="Milestone",IF(AND(OR($D100="Complete",$D100="Submitted"),$F100&gt;Sources!$C$5),"T",2),IF(AND(OR($D100="Complete",$D100="Submitted"),L$15&gt;Sources!$C$5),4,1)),"")))</x:f>
      </x:c>
      <x:c r="M100" s="35" t="str">
        <x:f>IF(OR($E100="",$F100=""),"",IF($I100="Either date",IF(OR(AND(M$15&lt;=$E100,M$15+6&gt;=$E100),AND(M$15&lt;=$F100,M$15+6&gt;=$F100)),3,""),IF(AND(M$15&lt;=$F100,M$15+6&gt;=$E100),IF($I100="Milestone",IF(AND(OR($D100="Complete",$D100="Submitted"),$F100&gt;Sources!$C$5),"T",2),IF(AND(OR($D100="Complete",$D100="Submitted"),M$15&gt;Sources!$C$5),4,1)),"")))</x:f>
      </x:c>
      <x:c r="N100" s="35" t="str">
        <x:f>IF(OR($E100="",$F100=""),"",IF($I100="Either date",IF(OR(AND(N$15&lt;=$E100,N$15+6&gt;=$E100),AND(N$15&lt;=$F100,N$15+6&gt;=$F100)),3,""),IF(AND(N$15&lt;=$F100,N$15+6&gt;=$E100),IF($I100="Milestone",IF(AND(OR($D100="Complete",$D100="Submitted"),$F100&gt;Sources!$C$5),"T",2),IF(AND(OR($D100="Complete",$D100="Submitted"),N$15&gt;Sources!$C$5),4,1)),"")))</x:f>
      </x:c>
      <x:c r="O100" s="35" t="str">
        <x:f>IF(OR($E100="",$F100=""),"",IF($I100="Either date",IF(OR(AND(O$15&lt;=$E100,O$15+6&gt;=$E100),AND(O$15&lt;=$F100,O$15+6&gt;=$F100)),3,""),IF(AND(O$15&lt;=$F100,O$15+6&gt;=$E100),IF($I100="Milestone",IF(AND(OR($D100="Complete",$D100="Submitted"),$F100&gt;Sources!$C$5),"T",2),IF(AND(OR($D100="Complete",$D100="Submitted"),O$15&gt;Sources!$C$5),4,1)),"")))</x:f>
      </x:c>
      <x:c r="P100" s="35" t="str">
        <x:f>IF(OR($E100="",$F100=""),"",IF($I100="Either date",IF(OR(AND(P$15&lt;=$E100,P$15+6&gt;=$E100),AND(P$15&lt;=$F100,P$15+6&gt;=$F100)),3,""),IF(AND(P$15&lt;=$F100,P$15+6&gt;=$E100),IF($I100="Milestone",IF(AND(OR($D100="Complete",$D100="Submitted"),$F100&gt;Sources!$C$5),"T",2),IF(AND(OR($D100="Complete",$D100="Submitted"),P$15&gt;Sources!$C$5),4,1)),"")))</x:f>
      </x:c>
      <x:c r="Q100" s="35" t="n">
        <x:f>IF(OR($E100="",$F100=""),"",IF($I100="Either date",IF(OR(AND(Q$15&lt;=$E100,Q$15+6&gt;=$E100),AND(Q$15&lt;=$F100,Q$15+6&gt;=$F100)),3,""),IF(AND(Q$15&lt;=$F100,Q$15+6&gt;=$E100),IF($I100="Milestone",IF(AND(OR($D100="Complete",$D100="Submitted"),$F100&gt;Sources!$C$5),"T",2),IF(AND(OR($D100="Complete",$D100="Submitted"),Q$15&gt;Sources!$C$5),4,1)),"")))</x:f>
        <x:v>2</x:v>
      </x:c>
      <x:c r="R100" s="35" t="str">
        <x:f>IF(OR($E100="",$F100=""),"",IF($I100="Either date",IF(OR(AND(R$15&lt;=$E100,R$15+6&gt;=$E100),AND(R$15&lt;=$F100,R$15+6&gt;=$F100)),3,""),IF(AND(R$15&lt;=$F100,R$15+6&gt;=$E100),IF($I100="Milestone",IF(AND(OR($D100="Complete",$D100="Submitted"),$F100&gt;Sources!$C$5),"T",2),IF(AND(OR($D100="Complete",$D100="Submitted"),R$15&gt;Sources!$C$5),4,1)),"")))</x:f>
      </x:c>
      <x:c r="S100" s="35" t="str">
        <x:f>IF(OR($E100="",$F100=""),"",IF($I100="Either date",IF(OR(AND(S$15&lt;=$E100,S$15+6&gt;=$E100),AND(S$15&lt;=$F100,S$15+6&gt;=$F100)),3,""),IF(AND(S$15&lt;=$F100,S$15+6&gt;=$E100),IF($I100="Milestone",IF(AND(OR($D100="Complete",$D100="Submitted"),$F100&gt;Sources!$C$5),"T",2),IF(AND(OR($D100="Complete",$D100="Submitted"),S$15&gt;Sources!$C$5),4,1)),"")))</x:f>
      </x:c>
      <x:c r="T100" s="35" t="str">
        <x:f>IF(OR($E100="",$F100=""),"",IF($I100="Either date",IF(OR(AND(T$15&lt;=$E100,T$15+6&gt;=$E100),AND(T$15&lt;=$F100,T$15+6&gt;=$F100)),3,""),IF(AND(T$15&lt;=$F100,T$15+6&gt;=$E100),IF($I100="Milestone",IF(AND(OR($D100="Complete",$D100="Submitted"),$F100&gt;Sources!$C$5),"T",2),IF(AND(OR($D100="Complete",$D100="Submitted"),T$15&gt;Sources!$C$5),4,1)),"")))</x:f>
      </x:c>
      <x:c r="U100" s="2"/>
      <x:c r="V100" s="2" t="str"/>
      <x:c r="W100" s="18" t="str">
        <x:v>Course milestone</x:v>
      </x:c>
      <x:c r="X100" s="18" t="str">
        <x:v>Submitted Gantt</x:v>
      </x:c>
    </x:row>
    <x:row r="101" ht="38" customHeight="1">
      <x:c r="A101" s="2" t="str">
        <x:v>C22</x:v>
      </x:c>
      <x:c r="B101" s="18" t="str">
        <x:v>Week 13 Team Progress Check-In: Stakeholder MVP Presentation Preparations</x:v>
      </x:c>
      <x:c r="C101" s="18" t="str">
        <x:v>All four</x:v>
      </x:c>
      <x:c r="D101" s="2" t="str">
        <x:v>Planned</x:v>
      </x:c>
      <x:c r="E101" s="15" t="d">
        <x:v>2026-11-20T00:00:00.000Z</x:v>
      </x:c>
      <x:c r="F101" s="15" t="d">
        <x:v>2026-11-20T00:00:00.000Z</x:v>
      </x:c>
      <x:c r="G101" s="2" t="n">
        <x:f>IF(OR(E101="",F101="",I101="Either date"),"",IF(F101&lt;E101,"Review",F101-E101+1))</x:f>
        <x:v>1</x:v>
      </x:c>
      <x:c r="H101" s="18" t="str">
        <x:v>D1</x:v>
      </x:c>
      <x:c r="I101" s="18" t="str">
        <x:v>Milestone</x:v>
      </x:c>
      <x:c r="J101" s="35" t="str">
        <x:f>IF(OR($E101="",$F101=""),"",IF($I101="Either date",IF(OR(AND(J$15&lt;=$E101,J$15+6&gt;=$E101),AND(J$15&lt;=$F101,J$15+6&gt;=$F101)),3,""),IF(AND(J$15&lt;=$F101,J$15+6&gt;=$E101),IF($I101="Milestone",IF(AND(OR($D101="Complete",$D101="Submitted"),$F101&gt;Sources!$C$5),"T",2),IF(AND(OR($D101="Complete",$D101="Submitted"),J$15&gt;Sources!$C$5),4,1)),"")))</x:f>
      </x:c>
      <x:c r="K101" s="35" t="str">
        <x:f>IF(OR($E101="",$F101=""),"",IF($I101="Either date",IF(OR(AND(K$15&lt;=$E101,K$15+6&gt;=$E101),AND(K$15&lt;=$F101,K$15+6&gt;=$F101)),3,""),IF(AND(K$15&lt;=$F101,K$15+6&gt;=$E101),IF($I101="Milestone",IF(AND(OR($D101="Complete",$D101="Submitted"),$F101&gt;Sources!$C$5),"T",2),IF(AND(OR($D101="Complete",$D101="Submitted"),K$15&gt;Sources!$C$5),4,1)),"")))</x:f>
      </x:c>
      <x:c r="L101" s="35" t="str">
        <x:f>IF(OR($E101="",$F101=""),"",IF($I101="Either date",IF(OR(AND(L$15&lt;=$E101,L$15+6&gt;=$E101),AND(L$15&lt;=$F101,L$15+6&gt;=$F101)),3,""),IF(AND(L$15&lt;=$F101,L$15+6&gt;=$E101),IF($I101="Milestone",IF(AND(OR($D101="Complete",$D101="Submitted"),$F101&gt;Sources!$C$5),"T",2),IF(AND(OR($D101="Complete",$D101="Submitted"),L$15&gt;Sources!$C$5),4,1)),"")))</x:f>
      </x:c>
      <x:c r="M101" s="35" t="str">
        <x:f>IF(OR($E101="",$F101=""),"",IF($I101="Either date",IF(OR(AND(M$15&lt;=$E101,M$15+6&gt;=$E101),AND(M$15&lt;=$F101,M$15+6&gt;=$F101)),3,""),IF(AND(M$15&lt;=$F101,M$15+6&gt;=$E101),IF($I101="Milestone",IF(AND(OR($D101="Complete",$D101="Submitted"),$F101&gt;Sources!$C$5),"T",2),IF(AND(OR($D101="Complete",$D101="Submitted"),M$15&gt;Sources!$C$5),4,1)),"")))</x:f>
      </x:c>
      <x:c r="N101" s="35" t="str">
        <x:f>IF(OR($E101="",$F101=""),"",IF($I101="Either date",IF(OR(AND(N$15&lt;=$E101,N$15+6&gt;=$E101),AND(N$15&lt;=$F101,N$15+6&gt;=$F101)),3,""),IF(AND(N$15&lt;=$F101,N$15+6&gt;=$E101),IF($I101="Milestone",IF(AND(OR($D101="Complete",$D101="Submitted"),$F101&gt;Sources!$C$5),"T",2),IF(AND(OR($D101="Complete",$D101="Submitted"),N$15&gt;Sources!$C$5),4,1)),"")))</x:f>
      </x:c>
      <x:c r="O101" s="35" t="str">
        <x:f>IF(OR($E101="",$F101=""),"",IF($I101="Either date",IF(OR(AND(O$15&lt;=$E101,O$15+6&gt;=$E101),AND(O$15&lt;=$F101,O$15+6&gt;=$F101)),3,""),IF(AND(O$15&lt;=$F101,O$15+6&gt;=$E101),IF($I101="Milestone",IF(AND(OR($D101="Complete",$D101="Submitted"),$F101&gt;Sources!$C$5),"T",2),IF(AND(OR($D101="Complete",$D101="Submitted"),O$15&gt;Sources!$C$5),4,1)),"")))</x:f>
      </x:c>
      <x:c r="P101" s="35" t="str">
        <x:f>IF(OR($E101="",$F101=""),"",IF($I101="Either date",IF(OR(AND(P$15&lt;=$E101,P$15+6&gt;=$E101),AND(P$15&lt;=$F101,P$15+6&gt;=$F101)),3,""),IF(AND(P$15&lt;=$F101,P$15+6&gt;=$E101),IF($I101="Milestone",IF(AND(OR($D101="Complete",$D101="Submitted"),$F101&gt;Sources!$C$5),"T",2),IF(AND(OR($D101="Complete",$D101="Submitted"),P$15&gt;Sources!$C$5),4,1)),"")))</x:f>
      </x:c>
      <x:c r="Q101" s="35" t="n">
        <x:f>IF(OR($E101="",$F101=""),"",IF($I101="Either date",IF(OR(AND(Q$15&lt;=$E101,Q$15+6&gt;=$E101),AND(Q$15&lt;=$F101,Q$15+6&gt;=$F101)),3,""),IF(AND(Q$15&lt;=$F101,Q$15+6&gt;=$E101),IF($I101="Milestone",IF(AND(OR($D101="Complete",$D101="Submitted"),$F101&gt;Sources!$C$5),"T",2),IF(AND(OR($D101="Complete",$D101="Submitted"),Q$15&gt;Sources!$C$5),4,1)),"")))</x:f>
        <x:v>2</x:v>
      </x:c>
      <x:c r="R101" s="35" t="str">
        <x:f>IF(OR($E101="",$F101=""),"",IF($I101="Either date",IF(OR(AND(R$15&lt;=$E101,R$15+6&gt;=$E101),AND(R$15&lt;=$F101,R$15+6&gt;=$F101)),3,""),IF(AND(R$15&lt;=$F101,R$15+6&gt;=$E101),IF($I101="Milestone",IF(AND(OR($D101="Complete",$D101="Submitted"),$F101&gt;Sources!$C$5),"T",2),IF(AND(OR($D101="Complete",$D101="Submitted"),R$15&gt;Sources!$C$5),4,1)),"")))</x:f>
      </x:c>
      <x:c r="S101" s="35" t="str">
        <x:f>IF(OR($E101="",$F101=""),"",IF($I101="Either date",IF(OR(AND(S$15&lt;=$E101,S$15+6&gt;=$E101),AND(S$15&lt;=$F101,S$15+6&gt;=$F101)),3,""),IF(AND(S$15&lt;=$F101,S$15+6&gt;=$E101),IF($I101="Milestone",IF(AND(OR($D101="Complete",$D101="Submitted"),$F101&gt;Sources!$C$5),"T",2),IF(AND(OR($D101="Complete",$D101="Submitted"),S$15&gt;Sources!$C$5),4,1)),"")))</x:f>
      </x:c>
      <x:c r="T101" s="35" t="str">
        <x:f>IF(OR($E101="",$F101=""),"",IF($I101="Either date",IF(OR(AND(T$15&lt;=$E101,T$15+6&gt;=$E101),AND(T$15&lt;=$F101,T$15+6&gt;=$F101)),3,""),IF(AND(T$15&lt;=$F101,T$15+6&gt;=$E101),IF($I101="Milestone",IF(AND(OR($D101="Complete",$D101="Submitted"),$F101&gt;Sources!$C$5),"T",2),IF(AND(OR($D101="Complete",$D101="Submitted"),T$15&gt;Sources!$C$5),4,1)),"")))</x:f>
      </x:c>
      <x:c r="U101" s="2"/>
      <x:c r="V101" s="2" t="str"/>
      <x:c r="W101" s="18" t="str">
        <x:v>Course milestone</x:v>
      </x:c>
      <x:c r="X101" s="18" t="str">
        <x:v>Submitted Gantt</x:v>
      </x:c>
    </x:row>
    <x:row r="102" ht="38" customHeight="1">
      <x:c r="A102" s="36" t="str">
        <x:v>C23</x:v>
      </x:c>
      <x:c r="B102" s="37" t="str">
        <x:v>Week 13 project log</x:v>
      </x:c>
      <x:c r="C102" s="37" t="str">
        <x:v>All four</x:v>
      </x:c>
      <x:c r="D102" s="36" t="str">
        <x:v>Planned</x:v>
      </x:c>
      <x:c r="E102" s="38" t="d">
        <x:v>2026-11-20T00:00:00.000Z</x:v>
      </x:c>
      <x:c r="F102" s="38" t="d">
        <x:v>2026-11-20T00:00:00.000Z</x:v>
      </x:c>
      <x:c r="G102" s="36" t="n">
        <x:f>IF(OR(E102="",F102="",I102="Either date"),"",IF(F102&lt;E102,"Review",F102-E102+1))</x:f>
        <x:v>1</x:v>
      </x:c>
      <x:c r="H102" s="37" t="str">
        <x:v>L13</x:v>
      </x:c>
      <x:c r="I102" s="37" t="str">
        <x:v>Milestone</x:v>
      </x:c>
      <x:c r="J102" s="35" t="str">
        <x:f>IF(OR($E102="",$F102=""),"",IF($I102="Either date",IF(OR(AND(J$15&lt;=$E102,J$15+6&gt;=$E102),AND(J$15&lt;=$F102,J$15+6&gt;=$F102)),3,""),IF(AND(J$15&lt;=$F102,J$15+6&gt;=$E102),IF($I102="Milestone",IF(AND(OR($D102="Complete",$D102="Submitted"),$F102&gt;Sources!$C$5),"T",2),IF(AND(OR($D102="Complete",$D102="Submitted"),J$15&gt;Sources!$C$5),4,1)),"")))</x:f>
      </x:c>
      <x:c r="K102" s="35" t="str">
        <x:f>IF(OR($E102="",$F102=""),"",IF($I102="Either date",IF(OR(AND(K$15&lt;=$E102,K$15+6&gt;=$E102),AND(K$15&lt;=$F102,K$15+6&gt;=$F102)),3,""),IF(AND(K$15&lt;=$F102,K$15+6&gt;=$E102),IF($I102="Milestone",IF(AND(OR($D102="Complete",$D102="Submitted"),$F102&gt;Sources!$C$5),"T",2),IF(AND(OR($D102="Complete",$D102="Submitted"),K$15&gt;Sources!$C$5),4,1)),"")))</x:f>
      </x:c>
      <x:c r="L102" s="35" t="str">
        <x:f>IF(OR($E102="",$F102=""),"",IF($I102="Either date",IF(OR(AND(L$15&lt;=$E102,L$15+6&gt;=$E102),AND(L$15&lt;=$F102,L$15+6&gt;=$F102)),3,""),IF(AND(L$15&lt;=$F102,L$15+6&gt;=$E102),IF($I102="Milestone",IF(AND(OR($D102="Complete",$D102="Submitted"),$F102&gt;Sources!$C$5),"T",2),IF(AND(OR($D102="Complete",$D102="Submitted"),L$15&gt;Sources!$C$5),4,1)),"")))</x:f>
      </x:c>
      <x:c r="M102" s="35" t="str">
        <x:f>IF(OR($E102="",$F102=""),"",IF($I102="Either date",IF(OR(AND(M$15&lt;=$E102,M$15+6&gt;=$E102),AND(M$15&lt;=$F102,M$15+6&gt;=$F102)),3,""),IF(AND(M$15&lt;=$F102,M$15+6&gt;=$E102),IF($I102="Milestone",IF(AND(OR($D102="Complete",$D102="Submitted"),$F102&gt;Sources!$C$5),"T",2),IF(AND(OR($D102="Complete",$D102="Submitted"),M$15&gt;Sources!$C$5),4,1)),"")))</x:f>
      </x:c>
      <x:c r="N102" s="35" t="str">
        <x:f>IF(OR($E102="",$F102=""),"",IF($I102="Either date",IF(OR(AND(N$15&lt;=$E102,N$15+6&gt;=$E102),AND(N$15&lt;=$F102,N$15+6&gt;=$F102)),3,""),IF(AND(N$15&lt;=$F102,N$15+6&gt;=$E102),IF($I102="Milestone",IF(AND(OR($D102="Complete",$D102="Submitted"),$F102&gt;Sources!$C$5),"T",2),IF(AND(OR($D102="Complete",$D102="Submitted"),N$15&gt;Sources!$C$5),4,1)),"")))</x:f>
      </x:c>
      <x:c r="O102" s="35" t="str">
        <x:f>IF(OR($E102="",$F102=""),"",IF($I102="Either date",IF(OR(AND(O$15&lt;=$E102,O$15+6&gt;=$E102),AND(O$15&lt;=$F102,O$15+6&gt;=$F102)),3,""),IF(AND(O$15&lt;=$F102,O$15+6&gt;=$E102),IF($I102="Milestone",IF(AND(OR($D102="Complete",$D102="Submitted"),$F102&gt;Sources!$C$5),"T",2),IF(AND(OR($D102="Complete",$D102="Submitted"),O$15&gt;Sources!$C$5),4,1)),"")))</x:f>
      </x:c>
      <x:c r="P102" s="35" t="str">
        <x:f>IF(OR($E102="",$F102=""),"",IF($I102="Either date",IF(OR(AND(P$15&lt;=$E102,P$15+6&gt;=$E102),AND(P$15&lt;=$F102,P$15+6&gt;=$F102)),3,""),IF(AND(P$15&lt;=$F102,P$15+6&gt;=$E102),IF($I102="Milestone",IF(AND(OR($D102="Complete",$D102="Submitted"),$F102&gt;Sources!$C$5),"T",2),IF(AND(OR($D102="Complete",$D102="Submitted"),P$15&gt;Sources!$C$5),4,1)),"")))</x:f>
      </x:c>
      <x:c r="Q102" s="35" t="n">
        <x:f>IF(OR($E102="",$F102=""),"",IF($I102="Either date",IF(OR(AND(Q$15&lt;=$E102,Q$15+6&gt;=$E102),AND(Q$15&lt;=$F102,Q$15+6&gt;=$F102)),3,""),IF(AND(Q$15&lt;=$F102,Q$15+6&gt;=$E102),IF($I102="Milestone",IF(AND(OR($D102="Complete",$D102="Submitted"),$F102&gt;Sources!$C$5),"T",2),IF(AND(OR($D102="Complete",$D102="Submitted"),Q$15&gt;Sources!$C$5),4,1)),"")))</x:f>
        <x:v>2</x:v>
      </x:c>
      <x:c r="R102" s="35" t="str">
        <x:f>IF(OR($E102="",$F102=""),"",IF($I102="Either date",IF(OR(AND(R$15&lt;=$E102,R$15+6&gt;=$E102),AND(R$15&lt;=$F102,R$15+6&gt;=$F102)),3,""),IF(AND(R$15&lt;=$F102,R$15+6&gt;=$E102),IF($I102="Milestone",IF(AND(OR($D102="Complete",$D102="Submitted"),$F102&gt;Sources!$C$5),"T",2),IF(AND(OR($D102="Complete",$D102="Submitted"),R$15&gt;Sources!$C$5),4,1)),"")))</x:f>
      </x:c>
      <x:c r="S102" s="35" t="str">
        <x:f>IF(OR($E102="",$F102=""),"",IF($I102="Either date",IF(OR(AND(S$15&lt;=$E102,S$15+6&gt;=$E102),AND(S$15&lt;=$F102,S$15+6&gt;=$F102)),3,""),IF(AND(S$15&lt;=$F102,S$15+6&gt;=$E102),IF($I102="Milestone",IF(AND(OR($D102="Complete",$D102="Submitted"),$F102&gt;Sources!$C$5),"T",2),IF(AND(OR($D102="Complete",$D102="Submitted"),S$15&gt;Sources!$C$5),4,1)),"")))</x:f>
      </x:c>
      <x:c r="T102" s="35" t="str">
        <x:f>IF(OR($E102="",$F102=""),"",IF($I102="Either date",IF(OR(AND(T$15&lt;=$E102,T$15+6&gt;=$E102),AND(T$15&lt;=$F102,T$15+6&gt;=$F102)),3,""),IF(AND(T$15&lt;=$F102,T$15+6&gt;=$E102),IF($I102="Milestone",IF(AND(OR($D102="Complete",$D102="Submitted"),$F102&gt;Sources!$C$5),"T",2),IF(AND(OR($D102="Complete",$D102="Submitted"),T$15&gt;Sources!$C$5),4,1)),"")))</x:f>
      </x:c>
      <x:c r="U102" s="2"/>
      <x:c r="V102" s="2" t="str"/>
      <x:c r="W102" s="18" t="str">
        <x:v>Course milestone</x:v>
      </x:c>
      <x:c r="X102" s="18" t="str">
        <x:v>Submitted Gantt</x:v>
      </x:c>
    </x:row>
    <x:row r="103" ht="38" customHeight="1">
      <x:c r="A103" s="2" t="str">
        <x:v>C24</x:v>
      </x:c>
      <x:c r="B103" s="18" t="str">
        <x:v>Extra Credit Opportunity: End-of-Semester Course Evaluation</x:v>
      </x:c>
      <x:c r="C103" s="18" t="str">
        <x:v>Optional</x:v>
      </x:c>
      <x:c r="D103" s="2" t="str">
        <x:v>Optional</x:v>
      </x:c>
      <x:c r="E103" s="15" t="d">
        <x:v>2026-12-04T00:00:00.000Z</x:v>
      </x:c>
      <x:c r="F103" s="15" t="d">
        <x:v>2026-12-04T00:00:00.000Z</x:v>
      </x:c>
      <x:c r="G103" s="2" t="n">
        <x:f>IF(OR(E103="",F103="",I103="Either date"),"",IF(F103&lt;E103,"Review",F103-E103+1))</x:f>
        <x:v>1</x:v>
      </x:c>
      <x:c r="H103" s="18" t="str"/>
      <x:c r="I103" s="18" t="str">
        <x:v>Milestone</x:v>
      </x:c>
      <x:c r="J103" s="35" t="str">
        <x:f>IF(OR($E103="",$F103=""),"",IF($I103="Either date",IF(OR(AND(J$15&lt;=$E103,J$15+6&gt;=$E103),AND(J$15&lt;=$F103,J$15+6&gt;=$F103)),3,""),IF(AND(J$15&lt;=$F103,J$15+6&gt;=$E103),IF($I103="Milestone",IF(AND(OR($D103="Complete",$D103="Submitted"),$F103&gt;Sources!$C$5),"T",2),IF(AND(OR($D103="Complete",$D103="Submitted"),J$15&gt;Sources!$C$5),4,1)),"")))</x:f>
      </x:c>
      <x:c r="K103" s="35" t="str">
        <x:f>IF(OR($E103="",$F103=""),"",IF($I103="Either date",IF(OR(AND(K$15&lt;=$E103,K$15+6&gt;=$E103),AND(K$15&lt;=$F103,K$15+6&gt;=$F103)),3,""),IF(AND(K$15&lt;=$F103,K$15+6&gt;=$E103),IF($I103="Milestone",IF(AND(OR($D103="Complete",$D103="Submitted"),$F103&gt;Sources!$C$5),"T",2),IF(AND(OR($D103="Complete",$D103="Submitted"),K$15&gt;Sources!$C$5),4,1)),"")))</x:f>
      </x:c>
      <x:c r="L103" s="35" t="str">
        <x:f>IF(OR($E103="",$F103=""),"",IF($I103="Either date",IF(OR(AND(L$15&lt;=$E103,L$15+6&gt;=$E103),AND(L$15&lt;=$F103,L$15+6&gt;=$F103)),3,""),IF(AND(L$15&lt;=$F103,L$15+6&gt;=$E103),IF($I103="Milestone",IF(AND(OR($D103="Complete",$D103="Submitted"),$F103&gt;Sources!$C$5),"T",2),IF(AND(OR($D103="Complete",$D103="Submitted"),L$15&gt;Sources!$C$5),4,1)),"")))</x:f>
      </x:c>
      <x:c r="M103" s="35" t="str">
        <x:f>IF(OR($E103="",$F103=""),"",IF($I103="Either date",IF(OR(AND(M$15&lt;=$E103,M$15+6&gt;=$E103),AND(M$15&lt;=$F103,M$15+6&gt;=$F103)),3,""),IF(AND(M$15&lt;=$F103,M$15+6&gt;=$E103),IF($I103="Milestone",IF(AND(OR($D103="Complete",$D103="Submitted"),$F103&gt;Sources!$C$5),"T",2),IF(AND(OR($D103="Complete",$D103="Submitted"),M$15&gt;Sources!$C$5),4,1)),"")))</x:f>
      </x:c>
      <x:c r="N103" s="35" t="str">
        <x:f>IF(OR($E103="",$F103=""),"",IF($I103="Either date",IF(OR(AND(N$15&lt;=$E103,N$15+6&gt;=$E103),AND(N$15&lt;=$F103,N$15+6&gt;=$F103)),3,""),IF(AND(N$15&lt;=$F103,N$15+6&gt;=$E103),IF($I103="Milestone",IF(AND(OR($D103="Complete",$D103="Submitted"),$F103&gt;Sources!$C$5),"T",2),IF(AND(OR($D103="Complete",$D103="Submitted"),N$15&gt;Sources!$C$5),4,1)),"")))</x:f>
      </x:c>
      <x:c r="O103" s="35" t="str">
        <x:f>IF(OR($E103="",$F103=""),"",IF($I103="Either date",IF(OR(AND(O$15&lt;=$E103,O$15+6&gt;=$E103),AND(O$15&lt;=$F103,O$15+6&gt;=$F103)),3,""),IF(AND(O$15&lt;=$F103,O$15+6&gt;=$E103),IF($I103="Milestone",IF(AND(OR($D103="Complete",$D103="Submitted"),$F103&gt;Sources!$C$5),"T",2),IF(AND(OR($D103="Complete",$D103="Submitted"),O$15&gt;Sources!$C$5),4,1)),"")))</x:f>
      </x:c>
      <x:c r="P103" s="35" t="str">
        <x:f>IF(OR($E103="",$F103=""),"",IF($I103="Either date",IF(OR(AND(P$15&lt;=$E103,P$15+6&gt;=$E103),AND(P$15&lt;=$F103,P$15+6&gt;=$F103)),3,""),IF(AND(P$15&lt;=$F103,P$15+6&gt;=$E103),IF($I103="Milestone",IF(AND(OR($D103="Complete",$D103="Submitted"),$F103&gt;Sources!$C$5),"T",2),IF(AND(OR($D103="Complete",$D103="Submitted"),P$15&gt;Sources!$C$5),4,1)),"")))</x:f>
      </x:c>
      <x:c r="Q103" s="35" t="str">
        <x:f>IF(OR($E103="",$F103=""),"",IF($I103="Either date",IF(OR(AND(Q$15&lt;=$E103,Q$15+6&gt;=$E103),AND(Q$15&lt;=$F103,Q$15+6&gt;=$F103)),3,""),IF(AND(Q$15&lt;=$F103,Q$15+6&gt;=$E103),IF($I103="Milestone",IF(AND(OR($D103="Complete",$D103="Submitted"),$F103&gt;Sources!$C$5),"T",2),IF(AND(OR($D103="Complete",$D103="Submitted"),Q$15&gt;Sources!$C$5),4,1)),"")))</x:f>
      </x:c>
      <x:c r="R103" s="35" t="str">
        <x:f>IF(OR($E103="",$F103=""),"",IF($I103="Either date",IF(OR(AND(R$15&lt;=$E103,R$15+6&gt;=$E103),AND(R$15&lt;=$F103,R$15+6&gt;=$F103)),3,""),IF(AND(R$15&lt;=$F103,R$15+6&gt;=$E103),IF($I103="Milestone",IF(AND(OR($D103="Complete",$D103="Submitted"),$F103&gt;Sources!$C$5),"T",2),IF(AND(OR($D103="Complete",$D103="Submitted"),R$15&gt;Sources!$C$5),4,1)),"")))</x:f>
      </x:c>
      <x:c r="S103" s="35" t="n">
        <x:f>IF(OR($E103="",$F103=""),"",IF($I103="Either date",IF(OR(AND(S$15&lt;=$E103,S$15+6&gt;=$E103),AND(S$15&lt;=$F103,S$15+6&gt;=$F103)),3,""),IF(AND(S$15&lt;=$F103,S$15+6&gt;=$E103),IF($I103="Milestone",IF(AND(OR($D103="Complete",$D103="Submitted"),$F103&gt;Sources!$C$5),"T",2),IF(AND(OR($D103="Complete",$D103="Submitted"),S$15&gt;Sources!$C$5),4,1)),"")))</x:f>
        <x:v>2</x:v>
      </x:c>
      <x:c r="T103" s="35" t="str">
        <x:f>IF(OR($E103="",$F103=""),"",IF($I103="Either date",IF(OR(AND(T$15&lt;=$E103,T$15+6&gt;=$E103),AND(T$15&lt;=$F103,T$15+6&gt;=$F103)),3,""),IF(AND(T$15&lt;=$F103,T$15+6&gt;=$E103),IF($I103="Milestone",IF(AND(OR($D103="Complete",$D103="Submitted"),$F103&gt;Sources!$C$5),"T",2),IF(AND(OR($D103="Complete",$D103="Submitted"),T$15&gt;Sources!$C$5),4,1)),"")))</x:f>
      </x:c>
      <x:c r="U103" s="2"/>
      <x:c r="V103" s="2" t="str"/>
      <x:c r="W103" s="18" t="str">
        <x:v>Course milestone</x:v>
      </x:c>
      <x:c r="X103" s="18" t="str">
        <x:v>Submitted Gantt</x:v>
      </x:c>
    </x:row>
    <x:row r="104" ht="38" customHeight="1">
      <x:c r="A104" s="36" t="str">
        <x:v>C25</x:v>
      </x:c>
      <x:c r="B104" s="37" t="str">
        <x:v>Final report</x:v>
      </x:c>
      <x:c r="C104" s="37" t="str">
        <x:v>All four</x:v>
      </x:c>
      <x:c r="D104" s="36" t="str">
        <x:v>Planned</x:v>
      </x:c>
      <x:c r="E104" s="38" t="d">
        <x:v>2026-12-04T00:00:00.000Z</x:v>
      </x:c>
      <x:c r="F104" s="38" t="d">
        <x:v>2026-12-04T00:00:00.000Z</x:v>
      </x:c>
      <x:c r="G104" s="36" t="n">
        <x:f>IF(OR(E104="",F104="",I104="Either date"),"",IF(F104&lt;E104,"Review",F104-E104+1))</x:f>
        <x:v>1</x:v>
      </x:c>
      <x:c r="H104" s="37" t="str">
        <x:v>M7</x:v>
      </x:c>
      <x:c r="I104" s="37" t="str">
        <x:v>Milestone</x:v>
      </x:c>
      <x:c r="J104" s="35" t="str">
        <x:f>IF(OR($E104="",$F104=""),"",IF($I104="Either date",IF(OR(AND(J$15&lt;=$E104,J$15+6&gt;=$E104),AND(J$15&lt;=$F104,J$15+6&gt;=$F104)),3,""),IF(AND(J$15&lt;=$F104,J$15+6&gt;=$E104),IF($I104="Milestone",IF(AND(OR($D104="Complete",$D104="Submitted"),$F104&gt;Sources!$C$5),"T",2),IF(AND(OR($D104="Complete",$D104="Submitted"),J$15&gt;Sources!$C$5),4,1)),"")))</x:f>
      </x:c>
      <x:c r="K104" s="35" t="str">
        <x:f>IF(OR($E104="",$F104=""),"",IF($I104="Either date",IF(OR(AND(K$15&lt;=$E104,K$15+6&gt;=$E104),AND(K$15&lt;=$F104,K$15+6&gt;=$F104)),3,""),IF(AND(K$15&lt;=$F104,K$15+6&gt;=$E104),IF($I104="Milestone",IF(AND(OR($D104="Complete",$D104="Submitted"),$F104&gt;Sources!$C$5),"T",2),IF(AND(OR($D104="Complete",$D104="Submitted"),K$15&gt;Sources!$C$5),4,1)),"")))</x:f>
      </x:c>
      <x:c r="L104" s="35" t="str">
        <x:f>IF(OR($E104="",$F104=""),"",IF($I104="Either date",IF(OR(AND(L$15&lt;=$E104,L$15+6&gt;=$E104),AND(L$15&lt;=$F104,L$15+6&gt;=$F104)),3,""),IF(AND(L$15&lt;=$F104,L$15+6&gt;=$E104),IF($I104="Milestone",IF(AND(OR($D104="Complete",$D104="Submitted"),$F104&gt;Sources!$C$5),"T",2),IF(AND(OR($D104="Complete",$D104="Submitted"),L$15&gt;Sources!$C$5),4,1)),"")))</x:f>
      </x:c>
      <x:c r="M104" s="35" t="str">
        <x:f>IF(OR($E104="",$F104=""),"",IF($I104="Either date",IF(OR(AND(M$15&lt;=$E104,M$15+6&gt;=$E104),AND(M$15&lt;=$F104,M$15+6&gt;=$F104)),3,""),IF(AND(M$15&lt;=$F104,M$15+6&gt;=$E104),IF($I104="Milestone",IF(AND(OR($D104="Complete",$D104="Submitted"),$F104&gt;Sources!$C$5),"T",2),IF(AND(OR($D104="Complete",$D104="Submitted"),M$15&gt;Sources!$C$5),4,1)),"")))</x:f>
      </x:c>
      <x:c r="N104" s="35" t="str">
        <x:f>IF(OR($E104="",$F104=""),"",IF($I104="Either date",IF(OR(AND(N$15&lt;=$E104,N$15+6&gt;=$E104),AND(N$15&lt;=$F104,N$15+6&gt;=$F104)),3,""),IF(AND(N$15&lt;=$F104,N$15+6&gt;=$E104),IF($I104="Milestone",IF(AND(OR($D104="Complete",$D104="Submitted"),$F104&gt;Sources!$C$5),"T",2),IF(AND(OR($D104="Complete",$D104="Submitted"),N$15&gt;Sources!$C$5),4,1)),"")))</x:f>
      </x:c>
      <x:c r="O104" s="35" t="str">
        <x:f>IF(OR($E104="",$F104=""),"",IF($I104="Either date",IF(OR(AND(O$15&lt;=$E104,O$15+6&gt;=$E104),AND(O$15&lt;=$F104,O$15+6&gt;=$F104)),3,""),IF(AND(O$15&lt;=$F104,O$15+6&gt;=$E104),IF($I104="Milestone",IF(AND(OR($D104="Complete",$D104="Submitted"),$F104&gt;Sources!$C$5),"T",2),IF(AND(OR($D104="Complete",$D104="Submitted"),O$15&gt;Sources!$C$5),4,1)),"")))</x:f>
      </x:c>
      <x:c r="P104" s="35" t="str">
        <x:f>IF(OR($E104="",$F104=""),"",IF($I104="Either date",IF(OR(AND(P$15&lt;=$E104,P$15+6&gt;=$E104),AND(P$15&lt;=$F104,P$15+6&gt;=$F104)),3,""),IF(AND(P$15&lt;=$F104,P$15+6&gt;=$E104),IF($I104="Milestone",IF(AND(OR($D104="Complete",$D104="Submitted"),$F104&gt;Sources!$C$5),"T",2),IF(AND(OR($D104="Complete",$D104="Submitted"),P$15&gt;Sources!$C$5),4,1)),"")))</x:f>
      </x:c>
      <x:c r="Q104" s="35" t="str">
        <x:f>IF(OR($E104="",$F104=""),"",IF($I104="Either date",IF(OR(AND(Q$15&lt;=$E104,Q$15+6&gt;=$E104),AND(Q$15&lt;=$F104,Q$15+6&gt;=$F104)),3,""),IF(AND(Q$15&lt;=$F104,Q$15+6&gt;=$E104),IF($I104="Milestone",IF(AND(OR($D104="Complete",$D104="Submitted"),$F104&gt;Sources!$C$5),"T",2),IF(AND(OR($D104="Complete",$D104="Submitted"),Q$15&gt;Sources!$C$5),4,1)),"")))</x:f>
      </x:c>
      <x:c r="R104" s="35" t="str">
        <x:f>IF(OR($E104="",$F104=""),"",IF($I104="Either date",IF(OR(AND(R$15&lt;=$E104,R$15+6&gt;=$E104),AND(R$15&lt;=$F104,R$15+6&gt;=$F104)),3,""),IF(AND(R$15&lt;=$F104,R$15+6&gt;=$E104),IF($I104="Milestone",IF(AND(OR($D104="Complete",$D104="Submitted"),$F104&gt;Sources!$C$5),"T",2),IF(AND(OR($D104="Complete",$D104="Submitted"),R$15&gt;Sources!$C$5),4,1)),"")))</x:f>
      </x:c>
      <x:c r="S104" s="35" t="n">
        <x:f>IF(OR($E104="",$F104=""),"",IF($I104="Either date",IF(OR(AND(S$15&lt;=$E104,S$15+6&gt;=$E104),AND(S$15&lt;=$F104,S$15+6&gt;=$F104)),3,""),IF(AND(S$15&lt;=$F104,S$15+6&gt;=$E104),IF($I104="Milestone",IF(AND(OR($D104="Complete",$D104="Submitted"),$F104&gt;Sources!$C$5),"T",2),IF(AND(OR($D104="Complete",$D104="Submitted"),S$15&gt;Sources!$C$5),4,1)),"")))</x:f>
        <x:v>2</x:v>
      </x:c>
      <x:c r="T104" s="35" t="str">
        <x:f>IF(OR($E104="",$F104=""),"",IF($I104="Either date",IF(OR(AND(T$15&lt;=$E104,T$15+6&gt;=$E104),AND(T$15&lt;=$F104,T$15+6&gt;=$F104)),3,""),IF(AND(T$15&lt;=$F104,T$15+6&gt;=$E104),IF($I104="Milestone",IF(AND(OR($D104="Complete",$D104="Submitted"),$F104&gt;Sources!$C$5),"T",2),IF(AND(OR($D104="Complete",$D104="Submitted"),T$15&gt;Sources!$C$5),4,1)),"")))</x:f>
      </x:c>
      <x:c r="U104" s="2"/>
      <x:c r="V104" s="2" t="str"/>
      <x:c r="W104" s="18" t="str">
        <x:v>Course milestone</x:v>
      </x:c>
      <x:c r="X104" s="18" t="str">
        <x:v>Submitted Gantt</x:v>
      </x:c>
    </x:row>
    <x:row r="105" ht="38" customHeight="1">
      <x:c r="A105" s="2" t="str">
        <x:v>C26</x:v>
      </x:c>
      <x:c r="B105" s="18" t="str">
        <x:v>CATME Peer Evaluation</x:v>
      </x:c>
      <x:c r="C105" s="18" t="str">
        <x:v>All four</x:v>
      </x:c>
      <x:c r="D105" s="2" t="str">
        <x:v>Planned</x:v>
      </x:c>
      <x:c r="E105" s="15" t="d">
        <x:v>2026-12-04T00:00:00.000Z</x:v>
      </x:c>
      <x:c r="F105" s="15" t="d">
        <x:v>2026-12-04T00:00:00.000Z</x:v>
      </x:c>
      <x:c r="G105" s="2" t="n">
        <x:f>IF(OR(E105="",F105="",I105="Either date"),"",IF(F105&lt;E105,"Review",F105-E105+1))</x:f>
        <x:v>1</x:v>
      </x:c>
      <x:c r="H105" s="18" t="str">
        <x:v>D5</x:v>
      </x:c>
      <x:c r="I105" s="18" t="str">
        <x:v>Milestone</x:v>
      </x:c>
      <x:c r="J105" s="35" t="str">
        <x:f>IF(OR($E105="",$F105=""),"",IF($I105="Either date",IF(OR(AND(J$15&lt;=$E105,J$15+6&gt;=$E105),AND(J$15&lt;=$F105,J$15+6&gt;=$F105)),3,""),IF(AND(J$15&lt;=$F105,J$15+6&gt;=$E105),IF($I105="Milestone",IF(AND(OR($D105="Complete",$D105="Submitted"),$F105&gt;Sources!$C$5),"T",2),IF(AND(OR($D105="Complete",$D105="Submitted"),J$15&gt;Sources!$C$5),4,1)),"")))</x:f>
      </x:c>
      <x:c r="K105" s="35" t="str">
        <x:f>IF(OR($E105="",$F105=""),"",IF($I105="Either date",IF(OR(AND(K$15&lt;=$E105,K$15+6&gt;=$E105),AND(K$15&lt;=$F105,K$15+6&gt;=$F105)),3,""),IF(AND(K$15&lt;=$F105,K$15+6&gt;=$E105),IF($I105="Milestone",IF(AND(OR($D105="Complete",$D105="Submitted"),$F105&gt;Sources!$C$5),"T",2),IF(AND(OR($D105="Complete",$D105="Submitted"),K$15&gt;Sources!$C$5),4,1)),"")))</x:f>
      </x:c>
      <x:c r="L105" s="35" t="str">
        <x:f>IF(OR($E105="",$F105=""),"",IF($I105="Either date",IF(OR(AND(L$15&lt;=$E105,L$15+6&gt;=$E105),AND(L$15&lt;=$F105,L$15+6&gt;=$F105)),3,""),IF(AND(L$15&lt;=$F105,L$15+6&gt;=$E105),IF($I105="Milestone",IF(AND(OR($D105="Complete",$D105="Submitted"),$F105&gt;Sources!$C$5),"T",2),IF(AND(OR($D105="Complete",$D105="Submitted"),L$15&gt;Sources!$C$5),4,1)),"")))</x:f>
      </x:c>
      <x:c r="M105" s="35" t="str">
        <x:f>IF(OR($E105="",$F105=""),"",IF($I105="Either date",IF(OR(AND(M$15&lt;=$E105,M$15+6&gt;=$E105),AND(M$15&lt;=$F105,M$15+6&gt;=$F105)),3,""),IF(AND(M$15&lt;=$F105,M$15+6&gt;=$E105),IF($I105="Milestone",IF(AND(OR($D105="Complete",$D105="Submitted"),$F105&gt;Sources!$C$5),"T",2),IF(AND(OR($D105="Complete",$D105="Submitted"),M$15&gt;Sources!$C$5),4,1)),"")))</x:f>
      </x:c>
      <x:c r="N105" s="35" t="str">
        <x:f>IF(OR($E105="",$F105=""),"",IF($I105="Either date",IF(OR(AND(N$15&lt;=$E105,N$15+6&gt;=$E105),AND(N$15&lt;=$F105,N$15+6&gt;=$F105)),3,""),IF(AND(N$15&lt;=$F105,N$15+6&gt;=$E105),IF($I105="Milestone",IF(AND(OR($D105="Complete",$D105="Submitted"),$F105&gt;Sources!$C$5),"T",2),IF(AND(OR($D105="Complete",$D105="Submitted"),N$15&gt;Sources!$C$5),4,1)),"")))</x:f>
      </x:c>
      <x:c r="O105" s="35" t="str">
        <x:f>IF(OR($E105="",$F105=""),"",IF($I105="Either date",IF(OR(AND(O$15&lt;=$E105,O$15+6&gt;=$E105),AND(O$15&lt;=$F105,O$15+6&gt;=$F105)),3,""),IF(AND(O$15&lt;=$F105,O$15+6&gt;=$E105),IF($I105="Milestone",IF(AND(OR($D105="Complete",$D105="Submitted"),$F105&gt;Sources!$C$5),"T",2),IF(AND(OR($D105="Complete",$D105="Submitted"),O$15&gt;Sources!$C$5),4,1)),"")))</x:f>
      </x:c>
      <x:c r="P105" s="35" t="str">
        <x:f>IF(OR($E105="",$F105=""),"",IF($I105="Either date",IF(OR(AND(P$15&lt;=$E105,P$15+6&gt;=$E105),AND(P$15&lt;=$F105,P$15+6&gt;=$F105)),3,""),IF(AND(P$15&lt;=$F105,P$15+6&gt;=$E105),IF($I105="Milestone",IF(AND(OR($D105="Complete",$D105="Submitted"),$F105&gt;Sources!$C$5),"T",2),IF(AND(OR($D105="Complete",$D105="Submitted"),P$15&gt;Sources!$C$5),4,1)),"")))</x:f>
      </x:c>
      <x:c r="Q105" s="35" t="str">
        <x:f>IF(OR($E105="",$F105=""),"",IF($I105="Either date",IF(OR(AND(Q$15&lt;=$E105,Q$15+6&gt;=$E105),AND(Q$15&lt;=$F105,Q$15+6&gt;=$F105)),3,""),IF(AND(Q$15&lt;=$F105,Q$15+6&gt;=$E105),IF($I105="Milestone",IF(AND(OR($D105="Complete",$D105="Submitted"),$F105&gt;Sources!$C$5),"T",2),IF(AND(OR($D105="Complete",$D105="Submitted"),Q$15&gt;Sources!$C$5),4,1)),"")))</x:f>
      </x:c>
      <x:c r="R105" s="35" t="str">
        <x:f>IF(OR($E105="",$F105=""),"",IF($I105="Either date",IF(OR(AND(R$15&lt;=$E105,R$15+6&gt;=$E105),AND(R$15&lt;=$F105,R$15+6&gt;=$F105)),3,""),IF(AND(R$15&lt;=$F105,R$15+6&gt;=$E105),IF($I105="Milestone",IF(AND(OR($D105="Complete",$D105="Submitted"),$F105&gt;Sources!$C$5),"T",2),IF(AND(OR($D105="Complete",$D105="Submitted"),R$15&gt;Sources!$C$5),4,1)),"")))</x:f>
      </x:c>
      <x:c r="S105" s="35" t="n">
        <x:f>IF(OR($E105="",$F105=""),"",IF($I105="Either date",IF(OR(AND(S$15&lt;=$E105,S$15+6&gt;=$E105),AND(S$15&lt;=$F105,S$15+6&gt;=$F105)),3,""),IF(AND(S$15&lt;=$F105,S$15+6&gt;=$E105),IF($I105="Milestone",IF(AND(OR($D105="Complete",$D105="Submitted"),$F105&gt;Sources!$C$5),"T",2),IF(AND(OR($D105="Complete",$D105="Submitted"),S$15&gt;Sources!$C$5),4,1)),"")))</x:f>
        <x:v>2</x:v>
      </x:c>
      <x:c r="T105" s="35" t="str">
        <x:f>IF(OR($E105="",$F105=""),"",IF($I105="Either date",IF(OR(AND(T$15&lt;=$E105,T$15+6&gt;=$E105),AND(T$15&lt;=$F105,T$15+6&gt;=$F105)),3,""),IF(AND(T$15&lt;=$F105,T$15+6&gt;=$E105),IF($I105="Milestone",IF(AND(OR($D105="Complete",$D105="Submitted"),$F105&gt;Sources!$C$5),"T",2),IF(AND(OR($D105="Complete",$D105="Submitted"),T$15&gt;Sources!$C$5),4,1)),"")))</x:f>
      </x:c>
      <x:c r="U105" s="2"/>
      <x:c r="V105" s="2" t="str"/>
      <x:c r="W105" s="18" t="str">
        <x:v>Course milestone</x:v>
      </x:c>
      <x:c r="X105" s="18" t="str">
        <x:v>Submitted Gantt</x:v>
      </x:c>
    </x:row>
    <x:row r="106" ht="38" customHeight="1">
      <x:c r="A106" s="36" t="str">
        <x:v>C27</x:v>
      </x:c>
      <x:c r="B106" s="37" t="str">
        <x:v>Final report (individual)</x:v>
      </x:c>
      <x:c r="C106" s="37" t="str">
        <x:v>All four</x:v>
      </x:c>
      <x:c r="D106" s="36" t="str">
        <x:v>Planned</x:v>
      </x:c>
      <x:c r="E106" s="38" t="d">
        <x:v>2026-12-04T00:00:00.000Z</x:v>
      </x:c>
      <x:c r="F106" s="38" t="d">
        <x:v>2026-12-04T00:00:00.000Z</x:v>
      </x:c>
      <x:c r="G106" s="36" t="n">
        <x:f>IF(OR(E106="",F106="",I106="Either date"),"",IF(F106&lt;E106,"Review",F106-E106+1))</x:f>
        <x:v>1</x:v>
      </x:c>
      <x:c r="H106" s="37" t="str">
        <x:v>M7</x:v>
      </x:c>
      <x:c r="I106" s="37" t="str">
        <x:v>Milestone</x:v>
      </x:c>
      <x:c r="J106" s="35" t="str">
        <x:f>IF(OR($E106="",$F106=""),"",IF($I106="Either date",IF(OR(AND(J$15&lt;=$E106,J$15+6&gt;=$E106),AND(J$15&lt;=$F106,J$15+6&gt;=$F106)),3,""),IF(AND(J$15&lt;=$F106,J$15+6&gt;=$E106),IF($I106="Milestone",IF(AND(OR($D106="Complete",$D106="Submitted"),$F106&gt;Sources!$C$5),"T",2),IF(AND(OR($D106="Complete",$D106="Submitted"),J$15&gt;Sources!$C$5),4,1)),"")))</x:f>
      </x:c>
      <x:c r="K106" s="35" t="str">
        <x:f>IF(OR($E106="",$F106=""),"",IF($I106="Either date",IF(OR(AND(K$15&lt;=$E106,K$15+6&gt;=$E106),AND(K$15&lt;=$F106,K$15+6&gt;=$F106)),3,""),IF(AND(K$15&lt;=$F106,K$15+6&gt;=$E106),IF($I106="Milestone",IF(AND(OR($D106="Complete",$D106="Submitted"),$F106&gt;Sources!$C$5),"T",2),IF(AND(OR($D106="Complete",$D106="Submitted"),K$15&gt;Sources!$C$5),4,1)),"")))</x:f>
      </x:c>
      <x:c r="L106" s="35" t="str">
        <x:f>IF(OR($E106="",$F106=""),"",IF($I106="Either date",IF(OR(AND(L$15&lt;=$E106,L$15+6&gt;=$E106),AND(L$15&lt;=$F106,L$15+6&gt;=$F106)),3,""),IF(AND(L$15&lt;=$F106,L$15+6&gt;=$E106),IF($I106="Milestone",IF(AND(OR($D106="Complete",$D106="Submitted"),$F106&gt;Sources!$C$5),"T",2),IF(AND(OR($D106="Complete",$D106="Submitted"),L$15&gt;Sources!$C$5),4,1)),"")))</x:f>
      </x:c>
      <x:c r="M106" s="35" t="str">
        <x:f>IF(OR($E106="",$F106=""),"",IF($I106="Either date",IF(OR(AND(M$15&lt;=$E106,M$15+6&gt;=$E106),AND(M$15&lt;=$F106,M$15+6&gt;=$F106)),3,""),IF(AND(M$15&lt;=$F106,M$15+6&gt;=$E106),IF($I106="Milestone",IF(AND(OR($D106="Complete",$D106="Submitted"),$F106&gt;Sources!$C$5),"T",2),IF(AND(OR($D106="Complete",$D106="Submitted"),M$15&gt;Sources!$C$5),4,1)),"")))</x:f>
      </x:c>
      <x:c r="N106" s="35" t="str">
        <x:f>IF(OR($E106="",$F106=""),"",IF($I106="Either date",IF(OR(AND(N$15&lt;=$E106,N$15+6&gt;=$E106),AND(N$15&lt;=$F106,N$15+6&gt;=$F106)),3,""),IF(AND(N$15&lt;=$F106,N$15+6&gt;=$E106),IF($I106="Milestone",IF(AND(OR($D106="Complete",$D106="Submitted"),$F106&gt;Sources!$C$5),"T",2),IF(AND(OR($D106="Complete",$D106="Submitted"),N$15&gt;Sources!$C$5),4,1)),"")))</x:f>
      </x:c>
      <x:c r="O106" s="35" t="str">
        <x:f>IF(OR($E106="",$F106=""),"",IF($I106="Either date",IF(OR(AND(O$15&lt;=$E106,O$15+6&gt;=$E106),AND(O$15&lt;=$F106,O$15+6&gt;=$F106)),3,""),IF(AND(O$15&lt;=$F106,O$15+6&gt;=$E106),IF($I106="Milestone",IF(AND(OR($D106="Complete",$D106="Submitted"),$F106&gt;Sources!$C$5),"T",2),IF(AND(OR($D106="Complete",$D106="Submitted"),O$15&gt;Sources!$C$5),4,1)),"")))</x:f>
      </x:c>
      <x:c r="P106" s="35" t="str">
        <x:f>IF(OR($E106="",$F106=""),"",IF($I106="Either date",IF(OR(AND(P$15&lt;=$E106,P$15+6&gt;=$E106),AND(P$15&lt;=$F106,P$15+6&gt;=$F106)),3,""),IF(AND(P$15&lt;=$F106,P$15+6&gt;=$E106),IF($I106="Milestone",IF(AND(OR($D106="Complete",$D106="Submitted"),$F106&gt;Sources!$C$5),"T",2),IF(AND(OR($D106="Complete",$D106="Submitted"),P$15&gt;Sources!$C$5),4,1)),"")))</x:f>
      </x:c>
      <x:c r="Q106" s="35" t="str">
        <x:f>IF(OR($E106="",$F106=""),"",IF($I106="Either date",IF(OR(AND(Q$15&lt;=$E106,Q$15+6&gt;=$E106),AND(Q$15&lt;=$F106,Q$15+6&gt;=$F106)),3,""),IF(AND(Q$15&lt;=$F106,Q$15+6&gt;=$E106),IF($I106="Milestone",IF(AND(OR($D106="Complete",$D106="Submitted"),$F106&gt;Sources!$C$5),"T",2),IF(AND(OR($D106="Complete",$D106="Submitted"),Q$15&gt;Sources!$C$5),4,1)),"")))</x:f>
      </x:c>
      <x:c r="R106" s="35" t="str">
        <x:f>IF(OR($E106="",$F106=""),"",IF($I106="Either date",IF(OR(AND(R$15&lt;=$E106,R$15+6&gt;=$E106),AND(R$15&lt;=$F106,R$15+6&gt;=$F106)),3,""),IF(AND(R$15&lt;=$F106,R$15+6&gt;=$E106),IF($I106="Milestone",IF(AND(OR($D106="Complete",$D106="Submitted"),$F106&gt;Sources!$C$5),"T",2),IF(AND(OR($D106="Complete",$D106="Submitted"),R$15&gt;Sources!$C$5),4,1)),"")))</x:f>
      </x:c>
      <x:c r="S106" s="35" t="n">
        <x:f>IF(OR($E106="",$F106=""),"",IF($I106="Either date",IF(OR(AND(S$15&lt;=$E106,S$15+6&gt;=$E106),AND(S$15&lt;=$F106,S$15+6&gt;=$F106)),3,""),IF(AND(S$15&lt;=$F106,S$15+6&gt;=$E106),IF($I106="Milestone",IF(AND(OR($D106="Complete",$D106="Submitted"),$F106&gt;Sources!$C$5),"T",2),IF(AND(OR($D106="Complete",$D106="Submitted"),S$15&gt;Sources!$C$5),4,1)),"")))</x:f>
        <x:v>2</x:v>
      </x:c>
      <x:c r="T106" s="35" t="str">
        <x:f>IF(OR($E106="",$F106=""),"",IF($I106="Either date",IF(OR(AND(T$15&lt;=$E106,T$15+6&gt;=$E106),AND(T$15&lt;=$F106,T$15+6&gt;=$F106)),3,""),IF(AND(T$15&lt;=$F106,T$15+6&gt;=$E106),IF($I106="Milestone",IF(AND(OR($D106="Complete",$D106="Submitted"),$F106&gt;Sources!$C$5),"T",2),IF(AND(OR($D106="Complete",$D106="Submitted"),T$15&gt;Sources!$C$5),4,1)),"")))</x:f>
      </x:c>
      <x:c r="U106" s="2"/>
      <x:c r="V106" s="2" t="str"/>
      <x:c r="W106" s="18" t="str">
        <x:v>Course milestone</x:v>
      </x:c>
      <x:c r="X106" s="18" t="str">
        <x:v>Submitted Gantt</x:v>
      </x:c>
    </x:row>
    <x:row r="107" ht="38" customHeight="1">
      <x:c r="A107" s="2" t="str">
        <x:v>C28</x:v>
      </x:c>
      <x:c r="B107" s="18" t="str">
        <x:v>Week 14 project log</x:v>
      </x:c>
      <x:c r="C107" s="18" t="str">
        <x:v>All four</x:v>
      </x:c>
      <x:c r="D107" s="2" t="str">
        <x:v>Planned</x:v>
      </x:c>
      <x:c r="E107" s="15" t="d">
        <x:v>2026-12-04T00:00:00.000Z</x:v>
      </x:c>
      <x:c r="F107" s="15" t="d">
        <x:v>2026-12-04T00:00:00.000Z</x:v>
      </x:c>
      <x:c r="G107" s="2" t="n">
        <x:f>IF(OR(E107="",F107="",I107="Either date"),"",IF(F107&lt;E107,"Review",F107-E107+1))</x:f>
        <x:v>1</x:v>
      </x:c>
      <x:c r="H107" s="18" t="str">
        <x:v>L14</x:v>
      </x:c>
      <x:c r="I107" s="18" t="str">
        <x:v>Milestone</x:v>
      </x:c>
      <x:c r="J107" s="35" t="str">
        <x:f>IF(OR($E107="",$F107=""),"",IF($I107="Either date",IF(OR(AND(J$15&lt;=$E107,J$15+6&gt;=$E107),AND(J$15&lt;=$F107,J$15+6&gt;=$F107)),3,""),IF(AND(J$15&lt;=$F107,J$15+6&gt;=$E107),IF($I107="Milestone",IF(AND(OR($D107="Complete",$D107="Submitted"),$F107&gt;Sources!$C$5),"T",2),IF(AND(OR($D107="Complete",$D107="Submitted"),J$15&gt;Sources!$C$5),4,1)),"")))</x:f>
      </x:c>
      <x:c r="K107" s="35" t="str">
        <x:f>IF(OR($E107="",$F107=""),"",IF($I107="Either date",IF(OR(AND(K$15&lt;=$E107,K$15+6&gt;=$E107),AND(K$15&lt;=$F107,K$15+6&gt;=$F107)),3,""),IF(AND(K$15&lt;=$F107,K$15+6&gt;=$E107),IF($I107="Milestone",IF(AND(OR($D107="Complete",$D107="Submitted"),$F107&gt;Sources!$C$5),"T",2),IF(AND(OR($D107="Complete",$D107="Submitted"),K$15&gt;Sources!$C$5),4,1)),"")))</x:f>
      </x:c>
      <x:c r="L107" s="35" t="str">
        <x:f>IF(OR($E107="",$F107=""),"",IF($I107="Either date",IF(OR(AND(L$15&lt;=$E107,L$15+6&gt;=$E107),AND(L$15&lt;=$F107,L$15+6&gt;=$F107)),3,""),IF(AND(L$15&lt;=$F107,L$15+6&gt;=$E107),IF($I107="Milestone",IF(AND(OR($D107="Complete",$D107="Submitted"),$F107&gt;Sources!$C$5),"T",2),IF(AND(OR($D107="Complete",$D107="Submitted"),L$15&gt;Sources!$C$5),4,1)),"")))</x:f>
      </x:c>
      <x:c r="M107" s="35" t="str">
        <x:f>IF(OR($E107="",$F107=""),"",IF($I107="Either date",IF(OR(AND(M$15&lt;=$E107,M$15+6&gt;=$E107),AND(M$15&lt;=$F107,M$15+6&gt;=$F107)),3,""),IF(AND(M$15&lt;=$F107,M$15+6&gt;=$E107),IF($I107="Milestone",IF(AND(OR($D107="Complete",$D107="Submitted"),$F107&gt;Sources!$C$5),"T",2),IF(AND(OR($D107="Complete",$D107="Submitted"),M$15&gt;Sources!$C$5),4,1)),"")))</x:f>
      </x:c>
      <x:c r="N107" s="35" t="str">
        <x:f>IF(OR($E107="",$F107=""),"",IF($I107="Either date",IF(OR(AND(N$15&lt;=$E107,N$15+6&gt;=$E107),AND(N$15&lt;=$F107,N$15+6&gt;=$F107)),3,""),IF(AND(N$15&lt;=$F107,N$15+6&gt;=$E107),IF($I107="Milestone",IF(AND(OR($D107="Complete",$D107="Submitted"),$F107&gt;Sources!$C$5),"T",2),IF(AND(OR($D107="Complete",$D107="Submitted"),N$15&gt;Sources!$C$5),4,1)),"")))</x:f>
      </x:c>
      <x:c r="O107" s="35" t="str">
        <x:f>IF(OR($E107="",$F107=""),"",IF($I107="Either date",IF(OR(AND(O$15&lt;=$E107,O$15+6&gt;=$E107),AND(O$15&lt;=$F107,O$15+6&gt;=$F107)),3,""),IF(AND(O$15&lt;=$F107,O$15+6&gt;=$E107),IF($I107="Milestone",IF(AND(OR($D107="Complete",$D107="Submitted"),$F107&gt;Sources!$C$5),"T",2),IF(AND(OR($D107="Complete",$D107="Submitted"),O$15&gt;Sources!$C$5),4,1)),"")))</x:f>
      </x:c>
      <x:c r="P107" s="35" t="str">
        <x:f>IF(OR($E107="",$F107=""),"",IF($I107="Either date",IF(OR(AND(P$15&lt;=$E107,P$15+6&gt;=$E107),AND(P$15&lt;=$F107,P$15+6&gt;=$F107)),3,""),IF(AND(P$15&lt;=$F107,P$15+6&gt;=$E107),IF($I107="Milestone",IF(AND(OR($D107="Complete",$D107="Submitted"),$F107&gt;Sources!$C$5),"T",2),IF(AND(OR($D107="Complete",$D107="Submitted"),P$15&gt;Sources!$C$5),4,1)),"")))</x:f>
      </x:c>
      <x:c r="Q107" s="35" t="str">
        <x:f>IF(OR($E107="",$F107=""),"",IF($I107="Either date",IF(OR(AND(Q$15&lt;=$E107,Q$15+6&gt;=$E107),AND(Q$15&lt;=$F107,Q$15+6&gt;=$F107)),3,""),IF(AND(Q$15&lt;=$F107,Q$15+6&gt;=$E107),IF($I107="Milestone",IF(AND(OR($D107="Complete",$D107="Submitted"),$F107&gt;Sources!$C$5),"T",2),IF(AND(OR($D107="Complete",$D107="Submitted"),Q$15&gt;Sources!$C$5),4,1)),"")))</x:f>
      </x:c>
      <x:c r="R107" s="35" t="str">
        <x:f>IF(OR($E107="",$F107=""),"",IF($I107="Either date",IF(OR(AND(R$15&lt;=$E107,R$15+6&gt;=$E107),AND(R$15&lt;=$F107,R$15+6&gt;=$F107)),3,""),IF(AND(R$15&lt;=$F107,R$15+6&gt;=$E107),IF($I107="Milestone",IF(AND(OR($D107="Complete",$D107="Submitted"),$F107&gt;Sources!$C$5),"T",2),IF(AND(OR($D107="Complete",$D107="Submitted"),R$15&gt;Sources!$C$5),4,1)),"")))</x:f>
      </x:c>
      <x:c r="S107" s="35" t="n">
        <x:f>IF(OR($E107="",$F107=""),"",IF($I107="Either date",IF(OR(AND(S$15&lt;=$E107,S$15+6&gt;=$E107),AND(S$15&lt;=$F107,S$15+6&gt;=$F107)),3,""),IF(AND(S$15&lt;=$F107,S$15+6&gt;=$E107),IF($I107="Milestone",IF(AND(OR($D107="Complete",$D107="Submitted"),$F107&gt;Sources!$C$5),"T",2),IF(AND(OR($D107="Complete",$D107="Submitted"),S$15&gt;Sources!$C$5),4,1)),"")))</x:f>
        <x:v>2</x:v>
      </x:c>
      <x:c r="T107" s="35" t="str">
        <x:f>IF(OR($E107="",$F107=""),"",IF($I107="Either date",IF(OR(AND(T$15&lt;=$E107,T$15+6&gt;=$E107),AND(T$15&lt;=$F107,T$15+6&gt;=$F107)),3,""),IF(AND(T$15&lt;=$F107,T$15+6&gt;=$E107),IF($I107="Milestone",IF(AND(OR($D107="Complete",$D107="Submitted"),$F107&gt;Sources!$C$5),"T",2),IF(AND(OR($D107="Complete",$D107="Submitted"),T$15&gt;Sources!$C$5),4,1)),"")))</x:f>
      </x:c>
      <x:c r="U107" s="2"/>
      <x:c r="V107" s="2" t="str"/>
      <x:c r="W107" s="18" t="str">
        <x:v>Course milestone</x:v>
      </x:c>
      <x:c r="X107" s="18" t="str">
        <x:v>Submitted Gantt</x:v>
      </x:c>
    </x:row>
    <x:row r="108" ht="38" customHeight="1">
      <x:c r="A108" s="36" t="str">
        <x:v>C29</x:v>
      </x:c>
      <x:c r="B108" s="37" t="str">
        <x:v>Final presentation (group)</x:v>
      </x:c>
      <x:c r="C108" s="37" t="str">
        <x:v>All four</x:v>
      </x:c>
      <x:c r="D108" s="36" t="str">
        <x:v>Planned</x:v>
      </x:c>
      <x:c r="E108" s="38" t="d">
        <x:v>2026-12-09T00:00:00.000Z</x:v>
      </x:c>
      <x:c r="F108" s="38" t="d">
        <x:v>2026-12-09T00:00:00.000Z</x:v>
      </x:c>
      <x:c r="G108" s="36" t="n">
        <x:f>IF(OR(E108="",F108="",I108="Either date"),"",IF(F108&lt;E108,"Review",F108-E108+1))</x:f>
        <x:v>1</x:v>
      </x:c>
      <x:c r="H108" s="37" t="str">
        <x:v>M8</x:v>
      </x:c>
      <x:c r="I108" s="37" t="str">
        <x:v>Milestone</x:v>
      </x:c>
      <x:c r="J108" s="35" t="str">
        <x:f>IF(OR($E108="",$F108=""),"",IF($I108="Either date",IF(OR(AND(J$15&lt;=$E108,J$15+6&gt;=$E108),AND(J$15&lt;=$F108,J$15+6&gt;=$F108)),3,""),IF(AND(J$15&lt;=$F108,J$15+6&gt;=$E108),IF($I108="Milestone",IF(AND(OR($D108="Complete",$D108="Submitted"),$F108&gt;Sources!$C$5),"T",2),IF(AND(OR($D108="Complete",$D108="Submitted"),J$15&gt;Sources!$C$5),4,1)),"")))</x:f>
      </x:c>
      <x:c r="K108" s="35" t="str">
        <x:f>IF(OR($E108="",$F108=""),"",IF($I108="Either date",IF(OR(AND(K$15&lt;=$E108,K$15+6&gt;=$E108),AND(K$15&lt;=$F108,K$15+6&gt;=$F108)),3,""),IF(AND(K$15&lt;=$F108,K$15+6&gt;=$E108),IF($I108="Milestone",IF(AND(OR($D108="Complete",$D108="Submitted"),$F108&gt;Sources!$C$5),"T",2),IF(AND(OR($D108="Complete",$D108="Submitted"),K$15&gt;Sources!$C$5),4,1)),"")))</x:f>
      </x:c>
      <x:c r="L108" s="35" t="str">
        <x:f>IF(OR($E108="",$F108=""),"",IF($I108="Either date",IF(OR(AND(L$15&lt;=$E108,L$15+6&gt;=$E108),AND(L$15&lt;=$F108,L$15+6&gt;=$F108)),3,""),IF(AND(L$15&lt;=$F108,L$15+6&gt;=$E108),IF($I108="Milestone",IF(AND(OR($D108="Complete",$D108="Submitted"),$F108&gt;Sources!$C$5),"T",2),IF(AND(OR($D108="Complete",$D108="Submitted"),L$15&gt;Sources!$C$5),4,1)),"")))</x:f>
      </x:c>
      <x:c r="M108" s="35" t="str">
        <x:f>IF(OR($E108="",$F108=""),"",IF($I108="Either date",IF(OR(AND(M$15&lt;=$E108,M$15+6&gt;=$E108),AND(M$15&lt;=$F108,M$15+6&gt;=$F108)),3,""),IF(AND(M$15&lt;=$F108,M$15+6&gt;=$E108),IF($I108="Milestone",IF(AND(OR($D108="Complete",$D108="Submitted"),$F108&gt;Sources!$C$5),"T",2),IF(AND(OR($D108="Complete",$D108="Submitted"),M$15&gt;Sources!$C$5),4,1)),"")))</x:f>
      </x:c>
      <x:c r="N108" s="35" t="str">
        <x:f>IF(OR($E108="",$F108=""),"",IF($I108="Either date",IF(OR(AND(N$15&lt;=$E108,N$15+6&gt;=$E108),AND(N$15&lt;=$F108,N$15+6&gt;=$F108)),3,""),IF(AND(N$15&lt;=$F108,N$15+6&gt;=$E108),IF($I108="Milestone",IF(AND(OR($D108="Complete",$D108="Submitted"),$F108&gt;Sources!$C$5),"T",2),IF(AND(OR($D108="Complete",$D108="Submitted"),N$15&gt;Sources!$C$5),4,1)),"")))</x:f>
      </x:c>
      <x:c r="O108" s="35" t="str">
        <x:f>IF(OR($E108="",$F108=""),"",IF($I108="Either date",IF(OR(AND(O$15&lt;=$E108,O$15+6&gt;=$E108),AND(O$15&lt;=$F108,O$15+6&gt;=$F108)),3,""),IF(AND(O$15&lt;=$F108,O$15+6&gt;=$E108),IF($I108="Milestone",IF(AND(OR($D108="Complete",$D108="Submitted"),$F108&gt;Sources!$C$5),"T",2),IF(AND(OR($D108="Complete",$D108="Submitted"),O$15&gt;Sources!$C$5),4,1)),"")))</x:f>
      </x:c>
      <x:c r="P108" s="35" t="str">
        <x:f>IF(OR($E108="",$F108=""),"",IF($I108="Either date",IF(OR(AND(P$15&lt;=$E108,P$15+6&gt;=$E108),AND(P$15&lt;=$F108,P$15+6&gt;=$F108)),3,""),IF(AND(P$15&lt;=$F108,P$15+6&gt;=$E108),IF($I108="Milestone",IF(AND(OR($D108="Complete",$D108="Submitted"),$F108&gt;Sources!$C$5),"T",2),IF(AND(OR($D108="Complete",$D108="Submitted"),P$15&gt;Sources!$C$5),4,1)),"")))</x:f>
      </x:c>
      <x:c r="Q108" s="35" t="str">
        <x:f>IF(OR($E108="",$F108=""),"",IF($I108="Either date",IF(OR(AND(Q$15&lt;=$E108,Q$15+6&gt;=$E108),AND(Q$15&lt;=$F108,Q$15+6&gt;=$F108)),3,""),IF(AND(Q$15&lt;=$F108,Q$15+6&gt;=$E108),IF($I108="Milestone",IF(AND(OR($D108="Complete",$D108="Submitted"),$F108&gt;Sources!$C$5),"T",2),IF(AND(OR($D108="Complete",$D108="Submitted"),Q$15&gt;Sources!$C$5),4,1)),"")))</x:f>
      </x:c>
      <x:c r="R108" s="35" t="str">
        <x:f>IF(OR($E108="",$F108=""),"",IF($I108="Either date",IF(OR(AND(R$15&lt;=$E108,R$15+6&gt;=$E108),AND(R$15&lt;=$F108,R$15+6&gt;=$F108)),3,""),IF(AND(R$15&lt;=$F108,R$15+6&gt;=$E108),IF($I108="Milestone",IF(AND(OR($D108="Complete",$D108="Submitted"),$F108&gt;Sources!$C$5),"T",2),IF(AND(OR($D108="Complete",$D108="Submitted"),R$15&gt;Sources!$C$5),4,1)),"")))</x:f>
      </x:c>
      <x:c r="S108" s="35" t="str">
        <x:f>IF(OR($E108="",$F108=""),"",IF($I108="Either date",IF(OR(AND(S$15&lt;=$E108,S$15+6&gt;=$E108),AND(S$15&lt;=$F108,S$15+6&gt;=$F108)),3,""),IF(AND(S$15&lt;=$F108,S$15+6&gt;=$E108),IF($I108="Milestone",IF(AND(OR($D108="Complete",$D108="Submitted"),$F108&gt;Sources!$C$5),"T",2),IF(AND(OR($D108="Complete",$D108="Submitted"),S$15&gt;Sources!$C$5),4,1)),"")))</x:f>
      </x:c>
      <x:c r="T108" s="35" t="n">
        <x:f>IF(OR($E108="",$F108=""),"",IF($I108="Either date",IF(OR(AND(T$15&lt;=$E108,T$15+6&gt;=$E108),AND(T$15&lt;=$F108,T$15+6&gt;=$F108)),3,""),IF(AND(T$15&lt;=$F108,T$15+6&gt;=$E108),IF($I108="Milestone",IF(AND(OR($D108="Complete",$D108="Submitted"),$F108&gt;Sources!$C$5),"T",2),IF(AND(OR($D108="Complete",$D108="Submitted"),T$15&gt;Sources!$C$5),4,1)),"")))</x:f>
        <x:v>2</x:v>
      </x:c>
      <x:c r="U108" s="2"/>
      <x:c r="V108" s="2" t="str"/>
      <x:c r="W108" s="18" t="str">
        <x:v>Course milestone</x:v>
      </x:c>
      <x:c r="X108" s="18" t="str">
        <x:v>Submitted Gantt</x:v>
      </x:c>
    </x:row>
    <x:row r="109" ht="38" customHeight="1">
      <x:c r="A109" s="2" t="str">
        <x:v>C30</x:v>
      </x:c>
      <x:c r="B109" s="18" t="str">
        <x:v>Final presentation (individual)</x:v>
      </x:c>
      <x:c r="C109" s="18" t="str">
        <x:v>All four</x:v>
      </x:c>
      <x:c r="D109" s="2" t="str">
        <x:v>Planned</x:v>
      </x:c>
      <x:c r="E109" s="15" t="d">
        <x:v>2026-12-09T00:00:00.000Z</x:v>
      </x:c>
      <x:c r="F109" s="15" t="d">
        <x:v>2026-12-09T00:00:00.000Z</x:v>
      </x:c>
      <x:c r="G109" s="2" t="n">
        <x:f>IF(OR(E109="",F109="",I109="Either date"),"",IF(F109&lt;E109,"Review",F109-E109+1))</x:f>
        <x:v>1</x:v>
      </x:c>
      <x:c r="H109" s="18" t="str">
        <x:v>M8</x:v>
      </x:c>
      <x:c r="I109" s="18" t="str">
        <x:v>Milestone</x:v>
      </x:c>
      <x:c r="J109" s="35" t="str">
        <x:f>IF(OR($E109="",$F109=""),"",IF($I109="Either date",IF(OR(AND(J$15&lt;=$E109,J$15+6&gt;=$E109),AND(J$15&lt;=$F109,J$15+6&gt;=$F109)),3,""),IF(AND(J$15&lt;=$F109,J$15+6&gt;=$E109),IF($I109="Milestone",IF(AND(OR($D109="Complete",$D109="Submitted"),$F109&gt;Sources!$C$5),"T",2),IF(AND(OR($D109="Complete",$D109="Submitted"),J$15&gt;Sources!$C$5),4,1)),"")))</x:f>
      </x:c>
      <x:c r="K109" s="35" t="str">
        <x:f>IF(OR($E109="",$F109=""),"",IF($I109="Either date",IF(OR(AND(K$15&lt;=$E109,K$15+6&gt;=$E109),AND(K$15&lt;=$F109,K$15+6&gt;=$F109)),3,""),IF(AND(K$15&lt;=$F109,K$15+6&gt;=$E109),IF($I109="Milestone",IF(AND(OR($D109="Complete",$D109="Submitted"),$F109&gt;Sources!$C$5),"T",2),IF(AND(OR($D109="Complete",$D109="Submitted"),K$15&gt;Sources!$C$5),4,1)),"")))</x:f>
      </x:c>
      <x:c r="L109" s="35" t="str">
        <x:f>IF(OR($E109="",$F109=""),"",IF($I109="Either date",IF(OR(AND(L$15&lt;=$E109,L$15+6&gt;=$E109),AND(L$15&lt;=$F109,L$15+6&gt;=$F109)),3,""),IF(AND(L$15&lt;=$F109,L$15+6&gt;=$E109),IF($I109="Milestone",IF(AND(OR($D109="Complete",$D109="Submitted"),$F109&gt;Sources!$C$5),"T",2),IF(AND(OR($D109="Complete",$D109="Submitted"),L$15&gt;Sources!$C$5),4,1)),"")))</x:f>
      </x:c>
      <x:c r="M109" s="35" t="str">
        <x:f>IF(OR($E109="",$F109=""),"",IF($I109="Either date",IF(OR(AND(M$15&lt;=$E109,M$15+6&gt;=$E109),AND(M$15&lt;=$F109,M$15+6&gt;=$F109)),3,""),IF(AND(M$15&lt;=$F109,M$15+6&gt;=$E109),IF($I109="Milestone",IF(AND(OR($D109="Complete",$D109="Submitted"),$F109&gt;Sources!$C$5),"T",2),IF(AND(OR($D109="Complete",$D109="Submitted"),M$15&gt;Sources!$C$5),4,1)),"")))</x:f>
      </x:c>
      <x:c r="N109" s="35" t="str">
        <x:f>IF(OR($E109="",$F109=""),"",IF($I109="Either date",IF(OR(AND(N$15&lt;=$E109,N$15+6&gt;=$E109),AND(N$15&lt;=$F109,N$15+6&gt;=$F109)),3,""),IF(AND(N$15&lt;=$F109,N$15+6&gt;=$E109),IF($I109="Milestone",IF(AND(OR($D109="Complete",$D109="Submitted"),$F109&gt;Sources!$C$5),"T",2),IF(AND(OR($D109="Complete",$D109="Submitted"),N$15&gt;Sources!$C$5),4,1)),"")))</x:f>
      </x:c>
      <x:c r="O109" s="35" t="str">
        <x:f>IF(OR($E109="",$F109=""),"",IF($I109="Either date",IF(OR(AND(O$15&lt;=$E109,O$15+6&gt;=$E109),AND(O$15&lt;=$F109,O$15+6&gt;=$F109)),3,""),IF(AND(O$15&lt;=$F109,O$15+6&gt;=$E109),IF($I109="Milestone",IF(AND(OR($D109="Complete",$D109="Submitted"),$F109&gt;Sources!$C$5),"T",2),IF(AND(OR($D109="Complete",$D109="Submitted"),O$15&gt;Sources!$C$5),4,1)),"")))</x:f>
      </x:c>
      <x:c r="P109" s="35" t="str">
        <x:f>IF(OR($E109="",$F109=""),"",IF($I109="Either date",IF(OR(AND(P$15&lt;=$E109,P$15+6&gt;=$E109),AND(P$15&lt;=$F109,P$15+6&gt;=$F109)),3,""),IF(AND(P$15&lt;=$F109,P$15+6&gt;=$E109),IF($I109="Milestone",IF(AND(OR($D109="Complete",$D109="Submitted"),$F109&gt;Sources!$C$5),"T",2),IF(AND(OR($D109="Complete",$D109="Submitted"),P$15&gt;Sources!$C$5),4,1)),"")))</x:f>
      </x:c>
      <x:c r="Q109" s="35" t="str">
        <x:f>IF(OR($E109="",$F109=""),"",IF($I109="Either date",IF(OR(AND(Q$15&lt;=$E109,Q$15+6&gt;=$E109),AND(Q$15&lt;=$F109,Q$15+6&gt;=$F109)),3,""),IF(AND(Q$15&lt;=$F109,Q$15+6&gt;=$E109),IF($I109="Milestone",IF(AND(OR($D109="Complete",$D109="Submitted"),$F109&gt;Sources!$C$5),"T",2),IF(AND(OR($D109="Complete",$D109="Submitted"),Q$15&gt;Sources!$C$5),4,1)),"")))</x:f>
      </x:c>
      <x:c r="R109" s="35" t="str">
        <x:f>IF(OR($E109="",$F109=""),"",IF($I109="Either date",IF(OR(AND(R$15&lt;=$E109,R$15+6&gt;=$E109),AND(R$15&lt;=$F109,R$15+6&gt;=$F109)),3,""),IF(AND(R$15&lt;=$F109,R$15+6&gt;=$E109),IF($I109="Milestone",IF(AND(OR($D109="Complete",$D109="Submitted"),$F109&gt;Sources!$C$5),"T",2),IF(AND(OR($D109="Complete",$D109="Submitted"),R$15&gt;Sources!$C$5),4,1)),"")))</x:f>
      </x:c>
      <x:c r="S109" s="35" t="str">
        <x:f>IF(OR($E109="",$F109=""),"",IF($I109="Either date",IF(OR(AND(S$15&lt;=$E109,S$15+6&gt;=$E109),AND(S$15&lt;=$F109,S$15+6&gt;=$F109)),3,""),IF(AND(S$15&lt;=$F109,S$15+6&gt;=$E109),IF($I109="Milestone",IF(AND(OR($D109="Complete",$D109="Submitted"),$F109&gt;Sources!$C$5),"T",2),IF(AND(OR($D109="Complete",$D109="Submitted"),S$15&gt;Sources!$C$5),4,1)),"")))</x:f>
      </x:c>
      <x:c r="T109" s="35" t="n">
        <x:f>IF(OR($E109="",$F109=""),"",IF($I109="Either date",IF(OR(AND(T$15&lt;=$E109,T$15+6&gt;=$E109),AND(T$15&lt;=$F109,T$15+6&gt;=$F109)),3,""),IF(AND(T$15&lt;=$F109,T$15+6&gt;=$E109),IF($I109="Milestone",IF(AND(OR($D109="Complete",$D109="Submitted"),$F109&gt;Sources!$C$5),"T",2),IF(AND(OR($D109="Complete",$D109="Submitted"),T$15&gt;Sources!$C$5),4,1)),"")))</x:f>
        <x:v>2</x:v>
      </x:c>
      <x:c r="U109" s="2"/>
      <x:c r="V109" s="2" t="str"/>
      <x:c r="W109" s="18" t="str">
        <x:v>Course milestone</x:v>
      </x:c>
      <x:c r="X109" s="18" t="str">
        <x:v>Submitted Gantt</x:v>
      </x:c>
    </x:row>
  </x:sheetData>
  <x:mergeCells>
    <x:mergeCell ref="A16:T16"/>
    <x:mergeCell ref="A26:T26"/>
    <x:mergeCell ref="A31:T31"/>
    <x:mergeCell ref="A43:T43"/>
    <x:mergeCell ref="A57:T57"/>
    <x:mergeCell ref="A68:T68"/>
    <x:mergeCell ref="A78:T78"/>
  </x:mergeCells>
  <x:conditionalFormatting sqref="J17:T17">
    <x:cfRule type="expression" dxfId="0" priority="1">
      <x:formula>AND(J17=1,OR($D17="Complete",$D17="Submitted"))</x:formula>
    </x:cfRule>
    <x:cfRule type="expression" dxfId="1" priority="2">
      <x:formula>AND(J17=1,$D17&lt;&gt;"Complete",$D17&lt;&gt;"Submitted")</x:formula>
    </x:cfRule>
    <x:cfRule type="expression" dxfId="2" priority="3">
      <x:formula>J17=4</x:formula>
    </x:cfRule>
    <x:cfRule type="expression" dxfId="3" priority="4">
      <x:formula>J17=2</x:formula>
    </x:cfRule>
    <x:cfRule type="expression" dxfId="4" priority="5">
      <x:formula>J17=3</x:formula>
    </x:cfRule>
    <x:cfRule type="expression" dxfId="5" priority="6">
      <x:formula>J17="T"</x:formula>
    </x:cfRule>
  </x:conditionalFormatting>
  <x:conditionalFormatting sqref="J18:T18">
    <x:cfRule type="expression" dxfId="6" priority="7">
      <x:formula>AND(J18=1,OR($D18="Complete",$D18="Submitted"))</x:formula>
    </x:cfRule>
    <x:cfRule type="expression" dxfId="7" priority="8">
      <x:formula>AND(J18=1,$D18&lt;&gt;"Complete",$D18&lt;&gt;"Submitted")</x:formula>
    </x:cfRule>
    <x:cfRule type="expression" dxfId="8" priority="9">
      <x:formula>J18=4</x:formula>
    </x:cfRule>
    <x:cfRule type="expression" dxfId="9" priority="10">
      <x:formula>J18=2</x:formula>
    </x:cfRule>
    <x:cfRule type="expression" dxfId="10" priority="11">
      <x:formula>J18=3</x:formula>
    </x:cfRule>
    <x:cfRule type="expression" dxfId="11" priority="12">
      <x:formula>J18="T"</x:formula>
    </x:cfRule>
  </x:conditionalFormatting>
  <x:conditionalFormatting sqref="J19:T19">
    <x:cfRule type="expression" dxfId="12" priority="13">
      <x:formula>AND(J19=1,OR($D19="Complete",$D19="Submitted"))</x:formula>
    </x:cfRule>
    <x:cfRule type="expression" dxfId="13" priority="14">
      <x:formula>AND(J19=1,$D19&lt;&gt;"Complete",$D19&lt;&gt;"Submitted")</x:formula>
    </x:cfRule>
    <x:cfRule type="expression" dxfId="14" priority="15">
      <x:formula>J19=4</x:formula>
    </x:cfRule>
    <x:cfRule type="expression" dxfId="15" priority="16">
      <x:formula>J19=2</x:formula>
    </x:cfRule>
    <x:cfRule type="expression" dxfId="16" priority="17">
      <x:formula>J19=3</x:formula>
    </x:cfRule>
    <x:cfRule type="expression" dxfId="17" priority="18">
      <x:formula>J19="T"</x:formula>
    </x:cfRule>
  </x:conditionalFormatting>
  <x:conditionalFormatting sqref="J20:T20">
    <x:cfRule type="expression" dxfId="18" priority="19">
      <x:formula>AND(J20=1,OR($D20="Complete",$D20="Submitted"))</x:formula>
    </x:cfRule>
    <x:cfRule type="expression" dxfId="19" priority="20">
      <x:formula>AND(J20=1,$D20&lt;&gt;"Complete",$D20&lt;&gt;"Submitted")</x:formula>
    </x:cfRule>
    <x:cfRule type="expression" dxfId="20" priority="21">
      <x:formula>J20=4</x:formula>
    </x:cfRule>
    <x:cfRule type="expression" dxfId="21" priority="22">
      <x:formula>J20=2</x:formula>
    </x:cfRule>
    <x:cfRule type="expression" dxfId="22" priority="23">
      <x:formula>J20=3</x:formula>
    </x:cfRule>
    <x:cfRule type="expression" dxfId="23" priority="24">
      <x:formula>J20="T"</x:formula>
    </x:cfRule>
  </x:conditionalFormatting>
  <x:conditionalFormatting sqref="J21:T21">
    <x:cfRule type="expression" dxfId="24" priority="25">
      <x:formula>AND(J21=1,OR($D21="Complete",$D21="Submitted"))</x:formula>
    </x:cfRule>
    <x:cfRule type="expression" dxfId="25" priority="26">
      <x:formula>AND(J21=1,$D21&lt;&gt;"Complete",$D21&lt;&gt;"Submitted")</x:formula>
    </x:cfRule>
    <x:cfRule type="expression" dxfId="26" priority="27">
      <x:formula>J21=4</x:formula>
    </x:cfRule>
    <x:cfRule type="expression" dxfId="27" priority="28">
      <x:formula>J21=2</x:formula>
    </x:cfRule>
    <x:cfRule type="expression" dxfId="28" priority="29">
      <x:formula>J21=3</x:formula>
    </x:cfRule>
    <x:cfRule type="expression" dxfId="29" priority="30">
      <x:formula>J21="T"</x:formula>
    </x:cfRule>
  </x:conditionalFormatting>
  <x:conditionalFormatting sqref="J22:T22">
    <x:cfRule type="expression" dxfId="30" priority="31">
      <x:formula>AND(J22=1,OR($D22="Complete",$D22="Submitted"))</x:formula>
    </x:cfRule>
    <x:cfRule type="expression" dxfId="31" priority="32">
      <x:formula>AND(J22=1,$D22&lt;&gt;"Complete",$D22&lt;&gt;"Submitted")</x:formula>
    </x:cfRule>
    <x:cfRule type="expression" dxfId="32" priority="33">
      <x:formula>J22=4</x:formula>
    </x:cfRule>
    <x:cfRule type="expression" dxfId="33" priority="34">
      <x:formula>J22=2</x:formula>
    </x:cfRule>
    <x:cfRule type="expression" dxfId="34" priority="35">
      <x:formula>J22=3</x:formula>
    </x:cfRule>
    <x:cfRule type="expression" dxfId="35" priority="36">
      <x:formula>J22="T"</x:formula>
    </x:cfRule>
  </x:conditionalFormatting>
  <x:conditionalFormatting sqref="J23:T23">
    <x:cfRule type="expression" dxfId="36" priority="37">
      <x:formula>AND(J23=1,OR($D23="Complete",$D23="Submitted"))</x:formula>
    </x:cfRule>
    <x:cfRule type="expression" dxfId="37" priority="38">
      <x:formula>AND(J23=1,$D23&lt;&gt;"Complete",$D23&lt;&gt;"Submitted")</x:formula>
    </x:cfRule>
    <x:cfRule type="expression" dxfId="38" priority="39">
      <x:formula>J23=4</x:formula>
    </x:cfRule>
    <x:cfRule type="expression" dxfId="39" priority="40">
      <x:formula>J23=2</x:formula>
    </x:cfRule>
    <x:cfRule type="expression" dxfId="40" priority="41">
      <x:formula>J23=3</x:formula>
    </x:cfRule>
    <x:cfRule type="expression" dxfId="41" priority="42">
      <x:formula>J23="T"</x:formula>
    </x:cfRule>
  </x:conditionalFormatting>
  <x:conditionalFormatting sqref="J24:T24">
    <x:cfRule type="expression" dxfId="42" priority="43">
      <x:formula>AND(J24=1,OR($D24="Complete",$D24="Submitted"))</x:formula>
    </x:cfRule>
    <x:cfRule type="expression" dxfId="43" priority="44">
      <x:formula>AND(J24=1,$D24&lt;&gt;"Complete",$D24&lt;&gt;"Submitted")</x:formula>
    </x:cfRule>
    <x:cfRule type="expression" dxfId="44" priority="45">
      <x:formula>J24=4</x:formula>
    </x:cfRule>
    <x:cfRule type="expression" dxfId="45" priority="46">
      <x:formula>J24=2</x:formula>
    </x:cfRule>
    <x:cfRule type="expression" dxfId="46" priority="47">
      <x:formula>J24=3</x:formula>
    </x:cfRule>
    <x:cfRule type="expression" dxfId="47" priority="48">
      <x:formula>J24="T"</x:formula>
    </x:cfRule>
  </x:conditionalFormatting>
  <x:conditionalFormatting sqref="J25:T25">
    <x:cfRule type="expression" dxfId="48" priority="49">
      <x:formula>AND(J25=1,OR($D25="Complete",$D25="Submitted"))</x:formula>
    </x:cfRule>
    <x:cfRule type="expression" dxfId="49" priority="50">
      <x:formula>AND(J25=1,$D25&lt;&gt;"Complete",$D25&lt;&gt;"Submitted")</x:formula>
    </x:cfRule>
    <x:cfRule type="expression" dxfId="50" priority="51">
      <x:formula>J25=4</x:formula>
    </x:cfRule>
    <x:cfRule type="expression" dxfId="51" priority="52">
      <x:formula>J25=2</x:formula>
    </x:cfRule>
    <x:cfRule type="expression" dxfId="52" priority="53">
      <x:formula>J25=3</x:formula>
    </x:cfRule>
    <x:cfRule type="expression" dxfId="53" priority="54">
      <x:formula>J25="T"</x:formula>
    </x:cfRule>
  </x:conditionalFormatting>
  <x:conditionalFormatting sqref="J27:T27">
    <x:cfRule type="expression" dxfId="54" priority="55">
      <x:formula>AND(J27=1,OR($D27="Complete",$D27="Submitted"))</x:formula>
    </x:cfRule>
    <x:cfRule type="expression" dxfId="55" priority="56">
      <x:formula>AND(J27=1,$D27&lt;&gt;"Complete",$D27&lt;&gt;"Submitted")</x:formula>
    </x:cfRule>
    <x:cfRule type="expression" dxfId="56" priority="57">
      <x:formula>J27=4</x:formula>
    </x:cfRule>
    <x:cfRule type="expression" dxfId="57" priority="58">
      <x:formula>J27=2</x:formula>
    </x:cfRule>
    <x:cfRule type="expression" dxfId="58" priority="59">
      <x:formula>J27=3</x:formula>
    </x:cfRule>
    <x:cfRule type="expression" dxfId="59" priority="60">
      <x:formula>J27="T"</x:formula>
    </x:cfRule>
  </x:conditionalFormatting>
  <x:conditionalFormatting sqref="J28:T28">
    <x:cfRule type="expression" dxfId="60" priority="61">
      <x:formula>AND(J28=1,OR($D28="Complete",$D28="Submitted"))</x:formula>
    </x:cfRule>
    <x:cfRule type="expression" dxfId="61" priority="62">
      <x:formula>AND(J28=1,$D28&lt;&gt;"Complete",$D28&lt;&gt;"Submitted")</x:formula>
    </x:cfRule>
    <x:cfRule type="expression" dxfId="62" priority="63">
      <x:formula>J28=4</x:formula>
    </x:cfRule>
    <x:cfRule type="expression" dxfId="63" priority="64">
      <x:formula>J28=2</x:formula>
    </x:cfRule>
    <x:cfRule type="expression" dxfId="64" priority="65">
      <x:formula>J28=3</x:formula>
    </x:cfRule>
    <x:cfRule type="expression" dxfId="65" priority="66">
      <x:formula>J28="T"</x:formula>
    </x:cfRule>
  </x:conditionalFormatting>
  <x:conditionalFormatting sqref="J29:T29">
    <x:cfRule type="expression" dxfId="66" priority="67">
      <x:formula>AND(J29=1,OR($D29="Complete",$D29="Submitted"))</x:formula>
    </x:cfRule>
    <x:cfRule type="expression" dxfId="67" priority="68">
      <x:formula>AND(J29=1,$D29&lt;&gt;"Complete",$D29&lt;&gt;"Submitted")</x:formula>
    </x:cfRule>
    <x:cfRule type="expression" dxfId="68" priority="69">
      <x:formula>J29=4</x:formula>
    </x:cfRule>
    <x:cfRule type="expression" dxfId="69" priority="70">
      <x:formula>J29=2</x:formula>
    </x:cfRule>
    <x:cfRule type="expression" dxfId="70" priority="71">
      <x:formula>J29=3</x:formula>
    </x:cfRule>
    <x:cfRule type="expression" dxfId="71" priority="72">
      <x:formula>J29="T"</x:formula>
    </x:cfRule>
  </x:conditionalFormatting>
  <x:conditionalFormatting sqref="J30:T30">
    <x:cfRule type="expression" dxfId="72" priority="73">
      <x:formula>AND(J30=1,OR($D30="Complete",$D30="Submitted"))</x:formula>
    </x:cfRule>
    <x:cfRule type="expression" dxfId="73" priority="74">
      <x:formula>AND(J30=1,$D30&lt;&gt;"Complete",$D30&lt;&gt;"Submitted")</x:formula>
    </x:cfRule>
    <x:cfRule type="expression" dxfId="74" priority="75">
      <x:formula>J30=4</x:formula>
    </x:cfRule>
    <x:cfRule type="expression" dxfId="75" priority="76">
      <x:formula>J30=2</x:formula>
    </x:cfRule>
    <x:cfRule type="expression" dxfId="76" priority="77">
      <x:formula>J30=3</x:formula>
    </x:cfRule>
    <x:cfRule type="expression" dxfId="77" priority="78">
      <x:formula>J30="T"</x:formula>
    </x:cfRule>
  </x:conditionalFormatting>
  <x:conditionalFormatting sqref="J32:T32">
    <x:cfRule type="expression" dxfId="78" priority="79">
      <x:formula>AND(J32=1,OR($D32="Complete",$D32="Submitted"))</x:formula>
    </x:cfRule>
    <x:cfRule type="expression" dxfId="79" priority="80">
      <x:formula>AND(J32=1,$D32&lt;&gt;"Complete",$D32&lt;&gt;"Submitted")</x:formula>
    </x:cfRule>
    <x:cfRule type="expression" dxfId="80" priority="81">
      <x:formula>J32=4</x:formula>
    </x:cfRule>
    <x:cfRule type="expression" dxfId="81" priority="82">
      <x:formula>J32=2</x:formula>
    </x:cfRule>
    <x:cfRule type="expression" dxfId="82" priority="83">
      <x:formula>J32=3</x:formula>
    </x:cfRule>
    <x:cfRule type="expression" dxfId="83" priority="84">
      <x:formula>J32="T"</x:formula>
    </x:cfRule>
  </x:conditionalFormatting>
  <x:conditionalFormatting sqref="J33:T33">
    <x:cfRule type="expression" dxfId="84" priority="85">
      <x:formula>AND(J33=1,OR($D33="Complete",$D33="Submitted"))</x:formula>
    </x:cfRule>
    <x:cfRule type="expression" dxfId="85" priority="86">
      <x:formula>AND(J33=1,$D33&lt;&gt;"Complete",$D33&lt;&gt;"Submitted")</x:formula>
    </x:cfRule>
    <x:cfRule type="expression" dxfId="86" priority="87">
      <x:formula>J33=4</x:formula>
    </x:cfRule>
    <x:cfRule type="expression" dxfId="87" priority="88">
      <x:formula>J33=2</x:formula>
    </x:cfRule>
    <x:cfRule type="expression" dxfId="88" priority="89">
      <x:formula>J33=3</x:formula>
    </x:cfRule>
    <x:cfRule type="expression" dxfId="89" priority="90">
      <x:formula>J33="T"</x:formula>
    </x:cfRule>
  </x:conditionalFormatting>
  <x:conditionalFormatting sqref="J34:T34">
    <x:cfRule type="expression" dxfId="90" priority="91">
      <x:formula>AND(J34=1,OR($D34="Complete",$D34="Submitted"))</x:formula>
    </x:cfRule>
    <x:cfRule type="expression" dxfId="91" priority="92">
      <x:formula>AND(J34=1,$D34&lt;&gt;"Complete",$D34&lt;&gt;"Submitted")</x:formula>
    </x:cfRule>
    <x:cfRule type="expression" dxfId="92" priority="93">
      <x:formula>J34=4</x:formula>
    </x:cfRule>
    <x:cfRule type="expression" dxfId="93" priority="94">
      <x:formula>J34=2</x:formula>
    </x:cfRule>
    <x:cfRule type="expression" dxfId="94" priority="95">
      <x:formula>J34=3</x:formula>
    </x:cfRule>
    <x:cfRule type="expression" dxfId="95" priority="96">
      <x:formula>J34="T"</x:formula>
    </x:cfRule>
  </x:conditionalFormatting>
  <x:conditionalFormatting sqref="J35:T35">
    <x:cfRule type="expression" dxfId="96" priority="97">
      <x:formula>AND(J35=1,OR($D35="Complete",$D35="Submitted"))</x:formula>
    </x:cfRule>
    <x:cfRule type="expression" dxfId="97" priority="98">
      <x:formula>AND(J35=1,$D35&lt;&gt;"Complete",$D35&lt;&gt;"Submitted")</x:formula>
    </x:cfRule>
    <x:cfRule type="expression" dxfId="98" priority="99">
      <x:formula>J35=4</x:formula>
    </x:cfRule>
    <x:cfRule type="expression" dxfId="99" priority="100">
      <x:formula>J35=2</x:formula>
    </x:cfRule>
    <x:cfRule type="expression" dxfId="100" priority="101">
      <x:formula>J35=3</x:formula>
    </x:cfRule>
    <x:cfRule type="expression" dxfId="101" priority="102">
      <x:formula>J35="T"</x:formula>
    </x:cfRule>
  </x:conditionalFormatting>
  <x:conditionalFormatting sqref="J36:T36">
    <x:cfRule type="expression" dxfId="102" priority="103">
      <x:formula>AND(J36=1,OR($D36="Complete",$D36="Submitted"))</x:formula>
    </x:cfRule>
    <x:cfRule type="expression" dxfId="103" priority="104">
      <x:formula>AND(J36=1,$D36&lt;&gt;"Complete",$D36&lt;&gt;"Submitted")</x:formula>
    </x:cfRule>
    <x:cfRule type="expression" dxfId="104" priority="105">
      <x:formula>J36=4</x:formula>
    </x:cfRule>
    <x:cfRule type="expression" dxfId="105" priority="106">
      <x:formula>J36=2</x:formula>
    </x:cfRule>
    <x:cfRule type="expression" dxfId="106" priority="107">
      <x:formula>J36=3</x:formula>
    </x:cfRule>
    <x:cfRule type="expression" dxfId="107" priority="108">
      <x:formula>J36="T"</x:formula>
    </x:cfRule>
  </x:conditionalFormatting>
  <x:conditionalFormatting sqref="J37:T37">
    <x:cfRule type="expression" dxfId="108" priority="109">
      <x:formula>AND(J37=1,OR($D37="Complete",$D37="Submitted"))</x:formula>
    </x:cfRule>
    <x:cfRule type="expression" dxfId="109" priority="110">
      <x:formula>AND(J37=1,$D37&lt;&gt;"Complete",$D37&lt;&gt;"Submitted")</x:formula>
    </x:cfRule>
    <x:cfRule type="expression" dxfId="110" priority="111">
      <x:formula>J37=4</x:formula>
    </x:cfRule>
    <x:cfRule type="expression" dxfId="111" priority="112">
      <x:formula>J37=2</x:formula>
    </x:cfRule>
    <x:cfRule type="expression" dxfId="112" priority="113">
      <x:formula>J37=3</x:formula>
    </x:cfRule>
    <x:cfRule type="expression" dxfId="113" priority="114">
      <x:formula>J37="T"</x:formula>
    </x:cfRule>
  </x:conditionalFormatting>
  <x:conditionalFormatting sqref="J38:T38">
    <x:cfRule type="expression" dxfId="114" priority="115">
      <x:formula>AND(J38=1,OR($D38="Complete",$D38="Submitted"))</x:formula>
    </x:cfRule>
    <x:cfRule type="expression" dxfId="115" priority="116">
      <x:formula>AND(J38=1,$D38&lt;&gt;"Complete",$D38&lt;&gt;"Submitted")</x:formula>
    </x:cfRule>
    <x:cfRule type="expression" dxfId="116" priority="117">
      <x:formula>J38=4</x:formula>
    </x:cfRule>
    <x:cfRule type="expression" dxfId="117" priority="118">
      <x:formula>J38=2</x:formula>
    </x:cfRule>
    <x:cfRule type="expression" dxfId="118" priority="119">
      <x:formula>J38=3</x:formula>
    </x:cfRule>
    <x:cfRule type="expression" dxfId="119" priority="120">
      <x:formula>J38="T"</x:formula>
    </x:cfRule>
  </x:conditionalFormatting>
  <x:conditionalFormatting sqref="J39:T39">
    <x:cfRule type="expression" dxfId="120" priority="121">
      <x:formula>AND(J39=1,OR($D39="Complete",$D39="Submitted"))</x:formula>
    </x:cfRule>
    <x:cfRule type="expression" dxfId="121" priority="122">
      <x:formula>AND(J39=1,$D39&lt;&gt;"Complete",$D39&lt;&gt;"Submitted")</x:formula>
    </x:cfRule>
    <x:cfRule type="expression" dxfId="122" priority="123">
      <x:formula>J39=4</x:formula>
    </x:cfRule>
    <x:cfRule type="expression" dxfId="123" priority="124">
      <x:formula>J39=2</x:formula>
    </x:cfRule>
    <x:cfRule type="expression" dxfId="124" priority="125">
      <x:formula>J39=3</x:formula>
    </x:cfRule>
    <x:cfRule type="expression" dxfId="125" priority="126">
      <x:formula>J39="T"</x:formula>
    </x:cfRule>
  </x:conditionalFormatting>
  <x:conditionalFormatting sqref="J40:T40">
    <x:cfRule type="expression" dxfId="126" priority="127">
      <x:formula>AND(J40=1,OR($D40="Complete",$D40="Submitted"))</x:formula>
    </x:cfRule>
    <x:cfRule type="expression" dxfId="127" priority="128">
      <x:formula>AND(J40=1,$D40&lt;&gt;"Complete",$D40&lt;&gt;"Submitted")</x:formula>
    </x:cfRule>
    <x:cfRule type="expression" dxfId="128" priority="129">
      <x:formula>J40=4</x:formula>
    </x:cfRule>
    <x:cfRule type="expression" dxfId="129" priority="130">
      <x:formula>J40=2</x:formula>
    </x:cfRule>
    <x:cfRule type="expression" dxfId="130" priority="131">
      <x:formula>J40=3</x:formula>
    </x:cfRule>
    <x:cfRule type="expression" dxfId="131" priority="132">
      <x:formula>J40="T"</x:formula>
    </x:cfRule>
  </x:conditionalFormatting>
  <x:conditionalFormatting sqref="J41:T41">
    <x:cfRule type="expression" dxfId="132" priority="133">
      <x:formula>AND(J41=1,OR($D41="Complete",$D41="Submitted"))</x:formula>
    </x:cfRule>
    <x:cfRule type="expression" dxfId="133" priority="134">
      <x:formula>AND(J41=1,$D41&lt;&gt;"Complete",$D41&lt;&gt;"Submitted")</x:formula>
    </x:cfRule>
    <x:cfRule type="expression" dxfId="134" priority="135">
      <x:formula>J41=4</x:formula>
    </x:cfRule>
    <x:cfRule type="expression" dxfId="135" priority="136">
      <x:formula>J41=2</x:formula>
    </x:cfRule>
    <x:cfRule type="expression" dxfId="136" priority="137">
      <x:formula>J41=3</x:formula>
    </x:cfRule>
    <x:cfRule type="expression" dxfId="137" priority="138">
      <x:formula>J41="T"</x:formula>
    </x:cfRule>
  </x:conditionalFormatting>
  <x:conditionalFormatting sqref="J42:T42">
    <x:cfRule type="expression" dxfId="138" priority="139">
      <x:formula>AND(J42=1,OR($D42="Complete",$D42="Submitted"))</x:formula>
    </x:cfRule>
    <x:cfRule type="expression" dxfId="139" priority="140">
      <x:formula>AND(J42=1,$D42&lt;&gt;"Complete",$D42&lt;&gt;"Submitted")</x:formula>
    </x:cfRule>
    <x:cfRule type="expression" dxfId="140" priority="141">
      <x:formula>J42=4</x:formula>
    </x:cfRule>
    <x:cfRule type="expression" dxfId="141" priority="142">
      <x:formula>J42=2</x:formula>
    </x:cfRule>
    <x:cfRule type="expression" dxfId="142" priority="143">
      <x:formula>J42=3</x:formula>
    </x:cfRule>
    <x:cfRule type="expression" dxfId="143" priority="144">
      <x:formula>J42="T"</x:formula>
    </x:cfRule>
  </x:conditionalFormatting>
  <x:conditionalFormatting sqref="J44:T44">
    <x:cfRule type="expression" dxfId="144" priority="145">
      <x:formula>AND(J44=1,OR($D44="Complete",$D44="Submitted"))</x:formula>
    </x:cfRule>
    <x:cfRule type="expression" dxfId="145" priority="146">
      <x:formula>AND(J44=1,$D44&lt;&gt;"Complete",$D44&lt;&gt;"Submitted")</x:formula>
    </x:cfRule>
    <x:cfRule type="expression" dxfId="146" priority="147">
      <x:formula>J44=4</x:formula>
    </x:cfRule>
    <x:cfRule type="expression" dxfId="147" priority="148">
      <x:formula>J44=2</x:formula>
    </x:cfRule>
    <x:cfRule type="expression" dxfId="148" priority="149">
      <x:formula>J44=3</x:formula>
    </x:cfRule>
    <x:cfRule type="expression" dxfId="149" priority="150">
      <x:formula>J44="T"</x:formula>
    </x:cfRule>
  </x:conditionalFormatting>
  <x:conditionalFormatting sqref="J45:T45">
    <x:cfRule type="expression" dxfId="150" priority="151">
      <x:formula>AND(J45=1,OR($D45="Complete",$D45="Submitted"))</x:formula>
    </x:cfRule>
    <x:cfRule type="expression" dxfId="151" priority="152">
      <x:formula>AND(J45=1,$D45&lt;&gt;"Complete",$D45&lt;&gt;"Submitted")</x:formula>
    </x:cfRule>
    <x:cfRule type="expression" dxfId="152" priority="153">
      <x:formula>J45=4</x:formula>
    </x:cfRule>
    <x:cfRule type="expression" dxfId="153" priority="154">
      <x:formula>J45=2</x:formula>
    </x:cfRule>
    <x:cfRule type="expression" dxfId="154" priority="155">
      <x:formula>J45=3</x:formula>
    </x:cfRule>
    <x:cfRule type="expression" dxfId="155" priority="156">
      <x:formula>J45="T"</x:formula>
    </x:cfRule>
  </x:conditionalFormatting>
  <x:conditionalFormatting sqref="J46:T46">
    <x:cfRule type="expression" dxfId="156" priority="157">
      <x:formula>AND(J46=1,OR($D46="Complete",$D46="Submitted"))</x:formula>
    </x:cfRule>
    <x:cfRule type="expression" dxfId="157" priority="158">
      <x:formula>AND(J46=1,$D46&lt;&gt;"Complete",$D46&lt;&gt;"Submitted")</x:formula>
    </x:cfRule>
    <x:cfRule type="expression" dxfId="158" priority="159">
      <x:formula>J46=4</x:formula>
    </x:cfRule>
    <x:cfRule type="expression" dxfId="159" priority="160">
      <x:formula>J46=2</x:formula>
    </x:cfRule>
    <x:cfRule type="expression" dxfId="160" priority="161">
      <x:formula>J46=3</x:formula>
    </x:cfRule>
    <x:cfRule type="expression" dxfId="161" priority="162">
      <x:formula>J46="T"</x:formula>
    </x:cfRule>
  </x:conditionalFormatting>
  <x:conditionalFormatting sqref="J47:T47">
    <x:cfRule type="expression" dxfId="162" priority="163">
      <x:formula>AND(J47=1,OR($D47="Complete",$D47="Submitted"))</x:formula>
    </x:cfRule>
    <x:cfRule type="expression" dxfId="163" priority="164">
      <x:formula>AND(J47=1,$D47&lt;&gt;"Complete",$D47&lt;&gt;"Submitted")</x:formula>
    </x:cfRule>
    <x:cfRule type="expression" dxfId="164" priority="165">
      <x:formula>J47=4</x:formula>
    </x:cfRule>
    <x:cfRule type="expression" dxfId="165" priority="166">
      <x:formula>J47=2</x:formula>
    </x:cfRule>
    <x:cfRule type="expression" dxfId="166" priority="167">
      <x:formula>J47=3</x:formula>
    </x:cfRule>
    <x:cfRule type="expression" dxfId="167" priority="168">
      <x:formula>J47="T"</x:formula>
    </x:cfRule>
  </x:conditionalFormatting>
  <x:conditionalFormatting sqref="J48:T48">
    <x:cfRule type="expression" dxfId="168" priority="169">
      <x:formula>AND(J48=1,OR($D48="Complete",$D48="Submitted"))</x:formula>
    </x:cfRule>
    <x:cfRule type="expression" dxfId="169" priority="170">
      <x:formula>AND(J48=1,$D48&lt;&gt;"Complete",$D48&lt;&gt;"Submitted")</x:formula>
    </x:cfRule>
    <x:cfRule type="expression" dxfId="170" priority="171">
      <x:formula>J48=4</x:formula>
    </x:cfRule>
    <x:cfRule type="expression" dxfId="171" priority="172">
      <x:formula>J48=2</x:formula>
    </x:cfRule>
    <x:cfRule type="expression" dxfId="172" priority="173">
      <x:formula>J48=3</x:formula>
    </x:cfRule>
    <x:cfRule type="expression" dxfId="173" priority="174">
      <x:formula>J48="T"</x:formula>
    </x:cfRule>
  </x:conditionalFormatting>
  <x:conditionalFormatting sqref="J49:T49">
    <x:cfRule type="expression" dxfId="174" priority="175">
      <x:formula>AND(J49=1,OR($D49="Complete",$D49="Submitted"))</x:formula>
    </x:cfRule>
    <x:cfRule type="expression" dxfId="175" priority="176">
      <x:formula>AND(J49=1,$D49&lt;&gt;"Complete",$D49&lt;&gt;"Submitted")</x:formula>
    </x:cfRule>
    <x:cfRule type="expression" dxfId="176" priority="177">
      <x:formula>J49=4</x:formula>
    </x:cfRule>
    <x:cfRule type="expression" dxfId="177" priority="178">
      <x:formula>J49=2</x:formula>
    </x:cfRule>
    <x:cfRule type="expression" dxfId="178" priority="179">
      <x:formula>J49=3</x:formula>
    </x:cfRule>
    <x:cfRule type="expression" dxfId="179" priority="180">
      <x:formula>J49="T"</x:formula>
    </x:cfRule>
  </x:conditionalFormatting>
  <x:conditionalFormatting sqref="J50:T50">
    <x:cfRule type="expression" dxfId="180" priority="181">
      <x:formula>AND(J50=1,OR($D50="Complete",$D50="Submitted"))</x:formula>
    </x:cfRule>
    <x:cfRule type="expression" dxfId="181" priority="182">
      <x:formula>AND(J50=1,$D50&lt;&gt;"Complete",$D50&lt;&gt;"Submitted")</x:formula>
    </x:cfRule>
    <x:cfRule type="expression" dxfId="182" priority="183">
      <x:formula>J50=4</x:formula>
    </x:cfRule>
    <x:cfRule type="expression" dxfId="183" priority="184">
      <x:formula>J50=2</x:formula>
    </x:cfRule>
    <x:cfRule type="expression" dxfId="184" priority="185">
      <x:formula>J50=3</x:formula>
    </x:cfRule>
    <x:cfRule type="expression" dxfId="185" priority="186">
      <x:formula>J50="T"</x:formula>
    </x:cfRule>
  </x:conditionalFormatting>
  <x:conditionalFormatting sqref="J51:T51">
    <x:cfRule type="expression" dxfId="186" priority="187">
      <x:formula>AND(J51=1,OR($D51="Complete",$D51="Submitted"))</x:formula>
    </x:cfRule>
    <x:cfRule type="expression" dxfId="187" priority="188">
      <x:formula>AND(J51=1,$D51&lt;&gt;"Complete",$D51&lt;&gt;"Submitted")</x:formula>
    </x:cfRule>
    <x:cfRule type="expression" dxfId="188" priority="189">
      <x:formula>J51=4</x:formula>
    </x:cfRule>
    <x:cfRule type="expression" dxfId="189" priority="190">
      <x:formula>J51=2</x:formula>
    </x:cfRule>
    <x:cfRule type="expression" dxfId="190" priority="191">
      <x:formula>J51=3</x:formula>
    </x:cfRule>
    <x:cfRule type="expression" dxfId="191" priority="192">
      <x:formula>J51="T"</x:formula>
    </x:cfRule>
  </x:conditionalFormatting>
  <x:conditionalFormatting sqref="J52:T52">
    <x:cfRule type="expression" dxfId="192" priority="193">
      <x:formula>AND(J52=1,OR($D52="Complete",$D52="Submitted"))</x:formula>
    </x:cfRule>
    <x:cfRule type="expression" dxfId="193" priority="194">
      <x:formula>AND(J52=1,$D52&lt;&gt;"Complete",$D52&lt;&gt;"Submitted")</x:formula>
    </x:cfRule>
    <x:cfRule type="expression" dxfId="194" priority="195">
      <x:formula>J52=4</x:formula>
    </x:cfRule>
    <x:cfRule type="expression" dxfId="195" priority="196">
      <x:formula>J52=2</x:formula>
    </x:cfRule>
    <x:cfRule type="expression" dxfId="196" priority="197">
      <x:formula>J52=3</x:formula>
    </x:cfRule>
    <x:cfRule type="expression" dxfId="197" priority="198">
      <x:formula>J52="T"</x:formula>
    </x:cfRule>
  </x:conditionalFormatting>
  <x:conditionalFormatting sqref="J53:T53">
    <x:cfRule type="expression" dxfId="198" priority="199">
      <x:formula>AND(J53=1,OR($D53="Complete",$D53="Submitted"))</x:formula>
    </x:cfRule>
    <x:cfRule type="expression" dxfId="199" priority="200">
      <x:formula>AND(J53=1,$D53&lt;&gt;"Complete",$D53&lt;&gt;"Submitted")</x:formula>
    </x:cfRule>
    <x:cfRule type="expression" dxfId="200" priority="201">
      <x:formula>J53=4</x:formula>
    </x:cfRule>
    <x:cfRule type="expression" dxfId="201" priority="202">
      <x:formula>J53=2</x:formula>
    </x:cfRule>
    <x:cfRule type="expression" dxfId="202" priority="203">
      <x:formula>J53=3</x:formula>
    </x:cfRule>
    <x:cfRule type="expression" dxfId="203" priority="204">
      <x:formula>J53="T"</x:formula>
    </x:cfRule>
  </x:conditionalFormatting>
  <x:conditionalFormatting sqref="J54:T54">
    <x:cfRule type="expression" dxfId="204" priority="205">
      <x:formula>AND(J54=1,OR($D54="Complete",$D54="Submitted"))</x:formula>
    </x:cfRule>
    <x:cfRule type="expression" dxfId="205" priority="206">
      <x:formula>AND(J54=1,$D54&lt;&gt;"Complete",$D54&lt;&gt;"Submitted")</x:formula>
    </x:cfRule>
    <x:cfRule type="expression" dxfId="206" priority="207">
      <x:formula>J54=4</x:formula>
    </x:cfRule>
    <x:cfRule type="expression" dxfId="207" priority="208">
      <x:formula>J54=2</x:formula>
    </x:cfRule>
    <x:cfRule type="expression" dxfId="208" priority="209">
      <x:formula>J54=3</x:formula>
    </x:cfRule>
    <x:cfRule type="expression" dxfId="209" priority="210">
      <x:formula>J54="T"</x:formula>
    </x:cfRule>
  </x:conditionalFormatting>
  <x:conditionalFormatting sqref="J55:T55">
    <x:cfRule type="expression" dxfId="210" priority="211">
      <x:formula>AND(J55=1,OR($D55="Complete",$D55="Submitted"))</x:formula>
    </x:cfRule>
    <x:cfRule type="expression" dxfId="211" priority="212">
      <x:formula>AND(J55=1,$D55&lt;&gt;"Complete",$D55&lt;&gt;"Submitted")</x:formula>
    </x:cfRule>
    <x:cfRule type="expression" dxfId="212" priority="213">
      <x:formula>J55=4</x:formula>
    </x:cfRule>
    <x:cfRule type="expression" dxfId="213" priority="214">
      <x:formula>J55=2</x:formula>
    </x:cfRule>
    <x:cfRule type="expression" dxfId="214" priority="215">
      <x:formula>J55=3</x:formula>
    </x:cfRule>
    <x:cfRule type="expression" dxfId="215" priority="216">
      <x:formula>J55="T"</x:formula>
    </x:cfRule>
  </x:conditionalFormatting>
  <x:conditionalFormatting sqref="J56:T56">
    <x:cfRule type="expression" dxfId="216" priority="217">
      <x:formula>AND(J56=1,OR($D56="Complete",$D56="Submitted"))</x:formula>
    </x:cfRule>
    <x:cfRule type="expression" dxfId="217" priority="218">
      <x:formula>AND(J56=1,$D56&lt;&gt;"Complete",$D56&lt;&gt;"Submitted")</x:formula>
    </x:cfRule>
    <x:cfRule type="expression" dxfId="218" priority="219">
      <x:formula>J56=4</x:formula>
    </x:cfRule>
    <x:cfRule type="expression" dxfId="219" priority="220">
      <x:formula>J56=2</x:formula>
    </x:cfRule>
    <x:cfRule type="expression" dxfId="220" priority="221">
      <x:formula>J56=3</x:formula>
    </x:cfRule>
    <x:cfRule type="expression" dxfId="221" priority="222">
      <x:formula>J56="T"</x:formula>
    </x:cfRule>
  </x:conditionalFormatting>
  <x:conditionalFormatting sqref="J58:T58">
    <x:cfRule type="expression" dxfId="222" priority="223">
      <x:formula>AND(J58=1,OR($D58="Complete",$D58="Submitted"))</x:formula>
    </x:cfRule>
    <x:cfRule type="expression" dxfId="223" priority="224">
      <x:formula>AND(J58=1,$D58&lt;&gt;"Complete",$D58&lt;&gt;"Submitted")</x:formula>
    </x:cfRule>
    <x:cfRule type="expression" dxfId="224" priority="225">
      <x:formula>J58=4</x:formula>
    </x:cfRule>
    <x:cfRule type="expression" dxfId="225" priority="226">
      <x:formula>J58=2</x:formula>
    </x:cfRule>
    <x:cfRule type="expression" dxfId="226" priority="227">
      <x:formula>J58=3</x:formula>
    </x:cfRule>
    <x:cfRule type="expression" dxfId="227" priority="228">
      <x:formula>J58="T"</x:formula>
    </x:cfRule>
  </x:conditionalFormatting>
  <x:conditionalFormatting sqref="J59:T59">
    <x:cfRule type="expression" dxfId="228" priority="229">
      <x:formula>AND(J59=1,OR($D59="Complete",$D59="Submitted"))</x:formula>
    </x:cfRule>
    <x:cfRule type="expression" dxfId="229" priority="230">
      <x:formula>AND(J59=1,$D59&lt;&gt;"Complete",$D59&lt;&gt;"Submitted")</x:formula>
    </x:cfRule>
    <x:cfRule type="expression" dxfId="230" priority="231">
      <x:formula>J59=4</x:formula>
    </x:cfRule>
    <x:cfRule type="expression" dxfId="231" priority="232">
      <x:formula>J59=2</x:formula>
    </x:cfRule>
    <x:cfRule type="expression" dxfId="232" priority="233">
      <x:formula>J59=3</x:formula>
    </x:cfRule>
    <x:cfRule type="expression" dxfId="233" priority="234">
      <x:formula>J59="T"</x:formula>
    </x:cfRule>
  </x:conditionalFormatting>
  <x:conditionalFormatting sqref="J60:T60">
    <x:cfRule type="expression" dxfId="234" priority="235">
      <x:formula>AND(J60=1,OR($D60="Complete",$D60="Submitted"))</x:formula>
    </x:cfRule>
    <x:cfRule type="expression" dxfId="235" priority="236">
      <x:formula>AND(J60=1,$D60&lt;&gt;"Complete",$D60&lt;&gt;"Submitted")</x:formula>
    </x:cfRule>
    <x:cfRule type="expression" dxfId="236" priority="237">
      <x:formula>J60=4</x:formula>
    </x:cfRule>
    <x:cfRule type="expression" dxfId="237" priority="238">
      <x:formula>J60=2</x:formula>
    </x:cfRule>
    <x:cfRule type="expression" dxfId="238" priority="239">
      <x:formula>J60=3</x:formula>
    </x:cfRule>
    <x:cfRule type="expression" dxfId="239" priority="240">
      <x:formula>J60="T"</x:formula>
    </x:cfRule>
  </x:conditionalFormatting>
  <x:conditionalFormatting sqref="J61:T61">
    <x:cfRule type="expression" dxfId="240" priority="241">
      <x:formula>AND(J61=1,OR($D61="Complete",$D61="Submitted"))</x:formula>
    </x:cfRule>
    <x:cfRule type="expression" dxfId="241" priority="242">
      <x:formula>AND(J61=1,$D61&lt;&gt;"Complete",$D61&lt;&gt;"Submitted")</x:formula>
    </x:cfRule>
    <x:cfRule type="expression" dxfId="242" priority="243">
      <x:formula>J61=4</x:formula>
    </x:cfRule>
    <x:cfRule type="expression" dxfId="243" priority="244">
      <x:formula>J61=2</x:formula>
    </x:cfRule>
    <x:cfRule type="expression" dxfId="244" priority="245">
      <x:formula>J61=3</x:formula>
    </x:cfRule>
    <x:cfRule type="expression" dxfId="245" priority="246">
      <x:formula>J61="T"</x:formula>
    </x:cfRule>
  </x:conditionalFormatting>
  <x:conditionalFormatting sqref="J62:T62">
    <x:cfRule type="expression" dxfId="246" priority="247">
      <x:formula>AND(J62=1,OR($D62="Complete",$D62="Submitted"))</x:formula>
    </x:cfRule>
    <x:cfRule type="expression" dxfId="247" priority="248">
      <x:formula>AND(J62=1,$D62&lt;&gt;"Complete",$D62&lt;&gt;"Submitted")</x:formula>
    </x:cfRule>
    <x:cfRule type="expression" dxfId="248" priority="249">
      <x:formula>J62=4</x:formula>
    </x:cfRule>
    <x:cfRule type="expression" dxfId="249" priority="250">
      <x:formula>J62=2</x:formula>
    </x:cfRule>
    <x:cfRule type="expression" dxfId="250" priority="251">
      <x:formula>J62=3</x:formula>
    </x:cfRule>
    <x:cfRule type="expression" dxfId="251" priority="252">
      <x:formula>J62="T"</x:formula>
    </x:cfRule>
  </x:conditionalFormatting>
  <x:conditionalFormatting sqref="J63:T63">
    <x:cfRule type="expression" dxfId="252" priority="253">
      <x:formula>AND(J63=1,OR($D63="Complete",$D63="Submitted"))</x:formula>
    </x:cfRule>
    <x:cfRule type="expression" dxfId="253" priority="254">
      <x:formula>AND(J63=1,$D63&lt;&gt;"Complete",$D63&lt;&gt;"Submitted")</x:formula>
    </x:cfRule>
    <x:cfRule type="expression" dxfId="254" priority="255">
      <x:formula>J63=4</x:formula>
    </x:cfRule>
    <x:cfRule type="expression" dxfId="255" priority="256">
      <x:formula>J63=2</x:formula>
    </x:cfRule>
    <x:cfRule type="expression" dxfId="256" priority="257">
      <x:formula>J63=3</x:formula>
    </x:cfRule>
    <x:cfRule type="expression" dxfId="257" priority="258">
      <x:formula>J63="T"</x:formula>
    </x:cfRule>
  </x:conditionalFormatting>
  <x:conditionalFormatting sqref="J64:T64">
    <x:cfRule type="expression" dxfId="258" priority="259">
      <x:formula>AND(J64=1,OR($D64="Complete",$D64="Submitted"))</x:formula>
    </x:cfRule>
    <x:cfRule type="expression" dxfId="259" priority="260">
      <x:formula>AND(J64=1,$D64&lt;&gt;"Complete",$D64&lt;&gt;"Submitted")</x:formula>
    </x:cfRule>
    <x:cfRule type="expression" dxfId="260" priority="261">
      <x:formula>J64=4</x:formula>
    </x:cfRule>
    <x:cfRule type="expression" dxfId="261" priority="262">
      <x:formula>J64=2</x:formula>
    </x:cfRule>
    <x:cfRule type="expression" dxfId="262" priority="263">
      <x:formula>J64=3</x:formula>
    </x:cfRule>
    <x:cfRule type="expression" dxfId="263" priority="264">
      <x:formula>J64="T"</x:formula>
    </x:cfRule>
  </x:conditionalFormatting>
  <x:conditionalFormatting sqref="J65:T65">
    <x:cfRule type="expression" dxfId="264" priority="265">
      <x:formula>AND(J65=1,OR($D65="Complete",$D65="Submitted"))</x:formula>
    </x:cfRule>
    <x:cfRule type="expression" dxfId="265" priority="266">
      <x:formula>AND(J65=1,$D65&lt;&gt;"Complete",$D65&lt;&gt;"Submitted")</x:formula>
    </x:cfRule>
    <x:cfRule type="expression" dxfId="266" priority="267">
      <x:formula>J65=4</x:formula>
    </x:cfRule>
    <x:cfRule type="expression" dxfId="267" priority="268">
      <x:formula>J65=2</x:formula>
    </x:cfRule>
    <x:cfRule type="expression" dxfId="268" priority="269">
      <x:formula>J65=3</x:formula>
    </x:cfRule>
    <x:cfRule type="expression" dxfId="269" priority="270">
      <x:formula>J65="T"</x:formula>
    </x:cfRule>
  </x:conditionalFormatting>
  <x:conditionalFormatting sqref="J66:T66">
    <x:cfRule type="expression" dxfId="270" priority="271">
      <x:formula>AND(J66=1,OR($D66="Complete",$D66="Submitted"))</x:formula>
    </x:cfRule>
    <x:cfRule type="expression" dxfId="271" priority="272">
      <x:formula>AND(J66=1,$D66&lt;&gt;"Complete",$D66&lt;&gt;"Submitted")</x:formula>
    </x:cfRule>
    <x:cfRule type="expression" dxfId="272" priority="273">
      <x:formula>J66=4</x:formula>
    </x:cfRule>
    <x:cfRule type="expression" dxfId="273" priority="274">
      <x:formula>J66=2</x:formula>
    </x:cfRule>
    <x:cfRule type="expression" dxfId="274" priority="275">
      <x:formula>J66=3</x:formula>
    </x:cfRule>
    <x:cfRule type="expression" dxfId="275" priority="276">
      <x:formula>J66="T"</x:formula>
    </x:cfRule>
  </x:conditionalFormatting>
  <x:conditionalFormatting sqref="J67:T67">
    <x:cfRule type="expression" dxfId="276" priority="277">
      <x:formula>AND(J67=1,OR($D67="Complete",$D67="Submitted"))</x:formula>
    </x:cfRule>
    <x:cfRule type="expression" dxfId="277" priority="278">
      <x:formula>AND(J67=1,$D67&lt;&gt;"Complete",$D67&lt;&gt;"Submitted")</x:formula>
    </x:cfRule>
    <x:cfRule type="expression" dxfId="278" priority="279">
      <x:formula>J67=4</x:formula>
    </x:cfRule>
    <x:cfRule type="expression" dxfId="279" priority="280">
      <x:formula>J67=2</x:formula>
    </x:cfRule>
    <x:cfRule type="expression" dxfId="280" priority="281">
      <x:formula>J67=3</x:formula>
    </x:cfRule>
    <x:cfRule type="expression" dxfId="281" priority="282">
      <x:formula>J67="T"</x:formula>
    </x:cfRule>
  </x:conditionalFormatting>
  <x:conditionalFormatting sqref="J69:T69">
    <x:cfRule type="expression" dxfId="282" priority="283">
      <x:formula>AND(J69=1,OR($D69="Complete",$D69="Submitted"))</x:formula>
    </x:cfRule>
    <x:cfRule type="expression" dxfId="283" priority="284">
      <x:formula>AND(J69=1,$D69&lt;&gt;"Complete",$D69&lt;&gt;"Submitted")</x:formula>
    </x:cfRule>
    <x:cfRule type="expression" dxfId="284" priority="285">
      <x:formula>J69=4</x:formula>
    </x:cfRule>
    <x:cfRule type="expression" dxfId="285" priority="286">
      <x:formula>J69=2</x:formula>
    </x:cfRule>
    <x:cfRule type="expression" dxfId="286" priority="287">
      <x:formula>J69=3</x:formula>
    </x:cfRule>
    <x:cfRule type="expression" dxfId="287" priority="288">
      <x:formula>J69="T"</x:formula>
    </x:cfRule>
  </x:conditionalFormatting>
  <x:conditionalFormatting sqref="J70:T70">
    <x:cfRule type="expression" dxfId="288" priority="289">
      <x:formula>AND(J70=1,OR($D70="Complete",$D70="Submitted"))</x:formula>
    </x:cfRule>
    <x:cfRule type="expression" dxfId="289" priority="290">
      <x:formula>AND(J70=1,$D70&lt;&gt;"Complete",$D70&lt;&gt;"Submitted")</x:formula>
    </x:cfRule>
    <x:cfRule type="expression" dxfId="290" priority="291">
      <x:formula>J70=4</x:formula>
    </x:cfRule>
    <x:cfRule type="expression" dxfId="291" priority="292">
      <x:formula>J70=2</x:formula>
    </x:cfRule>
    <x:cfRule type="expression" dxfId="292" priority="293">
      <x:formula>J70=3</x:formula>
    </x:cfRule>
    <x:cfRule type="expression" dxfId="293" priority="294">
      <x:formula>J70="T"</x:formula>
    </x:cfRule>
  </x:conditionalFormatting>
  <x:conditionalFormatting sqref="J71:T71">
    <x:cfRule type="expression" dxfId="294" priority="295">
      <x:formula>AND(J71=1,OR($D71="Complete",$D71="Submitted"))</x:formula>
    </x:cfRule>
    <x:cfRule type="expression" dxfId="295" priority="296">
      <x:formula>AND(J71=1,$D71&lt;&gt;"Complete",$D71&lt;&gt;"Submitted")</x:formula>
    </x:cfRule>
    <x:cfRule type="expression" dxfId="296" priority="297">
      <x:formula>J71=4</x:formula>
    </x:cfRule>
    <x:cfRule type="expression" dxfId="297" priority="298">
      <x:formula>J71=2</x:formula>
    </x:cfRule>
    <x:cfRule type="expression" dxfId="298" priority="299">
      <x:formula>J71=3</x:formula>
    </x:cfRule>
    <x:cfRule type="expression" dxfId="299" priority="300">
      <x:formula>J71="T"</x:formula>
    </x:cfRule>
  </x:conditionalFormatting>
  <x:conditionalFormatting sqref="J72:T72">
    <x:cfRule type="expression" dxfId="300" priority="301">
      <x:formula>AND(J72=1,OR($D72="Complete",$D72="Submitted"))</x:formula>
    </x:cfRule>
    <x:cfRule type="expression" dxfId="301" priority="302">
      <x:formula>AND(J72=1,$D72&lt;&gt;"Complete",$D72&lt;&gt;"Submitted")</x:formula>
    </x:cfRule>
    <x:cfRule type="expression" dxfId="302" priority="303">
      <x:formula>J72=4</x:formula>
    </x:cfRule>
    <x:cfRule type="expression" dxfId="303" priority="304">
      <x:formula>J72=2</x:formula>
    </x:cfRule>
    <x:cfRule type="expression" dxfId="304" priority="305">
      <x:formula>J72=3</x:formula>
    </x:cfRule>
    <x:cfRule type="expression" dxfId="305" priority="306">
      <x:formula>J72="T"</x:formula>
    </x:cfRule>
  </x:conditionalFormatting>
  <x:conditionalFormatting sqref="J73:T73">
    <x:cfRule type="expression" dxfId="306" priority="307">
      <x:formula>AND(J73=1,OR($D73="Complete",$D73="Submitted"))</x:formula>
    </x:cfRule>
    <x:cfRule type="expression" dxfId="307" priority="308">
      <x:formula>AND(J73=1,$D73&lt;&gt;"Complete",$D73&lt;&gt;"Submitted")</x:formula>
    </x:cfRule>
    <x:cfRule type="expression" dxfId="308" priority="309">
      <x:formula>J73=4</x:formula>
    </x:cfRule>
    <x:cfRule type="expression" dxfId="309" priority="310">
      <x:formula>J73=2</x:formula>
    </x:cfRule>
    <x:cfRule type="expression" dxfId="310" priority="311">
      <x:formula>J73=3</x:formula>
    </x:cfRule>
    <x:cfRule type="expression" dxfId="311" priority="312">
      <x:formula>J73="T"</x:formula>
    </x:cfRule>
  </x:conditionalFormatting>
  <x:conditionalFormatting sqref="J74:T74">
    <x:cfRule type="expression" dxfId="312" priority="313">
      <x:formula>AND(J74=1,OR($D74="Complete",$D74="Submitted"))</x:formula>
    </x:cfRule>
    <x:cfRule type="expression" dxfId="313" priority="314">
      <x:formula>AND(J74=1,$D74&lt;&gt;"Complete",$D74&lt;&gt;"Submitted")</x:formula>
    </x:cfRule>
    <x:cfRule type="expression" dxfId="314" priority="315">
      <x:formula>J74=4</x:formula>
    </x:cfRule>
    <x:cfRule type="expression" dxfId="315" priority="316">
      <x:formula>J74=2</x:formula>
    </x:cfRule>
    <x:cfRule type="expression" dxfId="316" priority="317">
      <x:formula>J74=3</x:formula>
    </x:cfRule>
    <x:cfRule type="expression" dxfId="317" priority="318">
      <x:formula>J74="T"</x:formula>
    </x:cfRule>
  </x:conditionalFormatting>
  <x:conditionalFormatting sqref="J75:T75">
    <x:cfRule type="expression" dxfId="318" priority="319">
      <x:formula>AND(J75=1,OR($D75="Complete",$D75="Submitted"))</x:formula>
    </x:cfRule>
    <x:cfRule type="expression" dxfId="319" priority="320">
      <x:formula>AND(J75=1,$D75&lt;&gt;"Complete",$D75&lt;&gt;"Submitted")</x:formula>
    </x:cfRule>
    <x:cfRule type="expression" dxfId="320" priority="321">
      <x:formula>J75=4</x:formula>
    </x:cfRule>
    <x:cfRule type="expression" dxfId="321" priority="322">
      <x:formula>J75=2</x:formula>
    </x:cfRule>
    <x:cfRule type="expression" dxfId="322" priority="323">
      <x:formula>J75=3</x:formula>
    </x:cfRule>
    <x:cfRule type="expression" dxfId="323" priority="324">
      <x:formula>J75="T"</x:formula>
    </x:cfRule>
  </x:conditionalFormatting>
  <x:conditionalFormatting sqref="J76:T76">
    <x:cfRule type="expression" dxfId="324" priority="325">
      <x:formula>AND(J76=1,OR($D76="Complete",$D76="Submitted"))</x:formula>
    </x:cfRule>
    <x:cfRule type="expression" dxfId="325" priority="326">
      <x:formula>AND(J76=1,$D76&lt;&gt;"Complete",$D76&lt;&gt;"Submitted")</x:formula>
    </x:cfRule>
    <x:cfRule type="expression" dxfId="326" priority="327">
      <x:formula>J76=4</x:formula>
    </x:cfRule>
    <x:cfRule type="expression" dxfId="327" priority="328">
      <x:formula>J76=2</x:formula>
    </x:cfRule>
    <x:cfRule type="expression" dxfId="328" priority="329">
      <x:formula>J76=3</x:formula>
    </x:cfRule>
    <x:cfRule type="expression" dxfId="329" priority="330">
      <x:formula>J76="T"</x:formula>
    </x:cfRule>
  </x:conditionalFormatting>
  <x:conditionalFormatting sqref="J77:T77">
    <x:cfRule type="expression" dxfId="330" priority="331">
      <x:formula>AND(J77=1,OR($D77="Complete",$D77="Submitted"))</x:formula>
    </x:cfRule>
    <x:cfRule type="expression" dxfId="331" priority="332">
      <x:formula>AND(J77=1,$D77&lt;&gt;"Complete",$D77&lt;&gt;"Submitted")</x:formula>
    </x:cfRule>
    <x:cfRule type="expression" dxfId="332" priority="333">
      <x:formula>J77=4</x:formula>
    </x:cfRule>
    <x:cfRule type="expression" dxfId="333" priority="334">
      <x:formula>J77=2</x:formula>
    </x:cfRule>
    <x:cfRule type="expression" dxfId="334" priority="335">
      <x:formula>J77=3</x:formula>
    </x:cfRule>
    <x:cfRule type="expression" dxfId="335" priority="336">
      <x:formula>J77="T"</x:formula>
    </x:cfRule>
  </x:conditionalFormatting>
  <x:conditionalFormatting sqref="J79:T79">
    <x:cfRule type="expression" dxfId="336" priority="337">
      <x:formula>AND(J79=1,OR($D79="Complete",$D79="Submitted"))</x:formula>
    </x:cfRule>
    <x:cfRule type="expression" dxfId="337" priority="338">
      <x:formula>AND(J79=1,$D79&lt;&gt;"Complete",$D79&lt;&gt;"Submitted")</x:formula>
    </x:cfRule>
    <x:cfRule type="expression" dxfId="338" priority="339">
      <x:formula>J79=4</x:formula>
    </x:cfRule>
    <x:cfRule type="expression" dxfId="339" priority="340">
      <x:formula>J79=2</x:formula>
    </x:cfRule>
    <x:cfRule type="expression" dxfId="340" priority="341">
      <x:formula>J79=3</x:formula>
    </x:cfRule>
    <x:cfRule type="expression" dxfId="341" priority="342">
      <x:formula>J79="T"</x:formula>
    </x:cfRule>
  </x:conditionalFormatting>
  <x:conditionalFormatting sqref="J80:T80">
    <x:cfRule type="expression" dxfId="342" priority="343">
      <x:formula>AND(J80=1,OR($D80="Complete",$D80="Submitted"))</x:formula>
    </x:cfRule>
    <x:cfRule type="expression" dxfId="343" priority="344">
      <x:formula>AND(J80=1,$D80&lt;&gt;"Complete",$D80&lt;&gt;"Submitted")</x:formula>
    </x:cfRule>
    <x:cfRule type="expression" dxfId="344" priority="345">
      <x:formula>J80=4</x:formula>
    </x:cfRule>
    <x:cfRule type="expression" dxfId="345" priority="346">
      <x:formula>J80=2</x:formula>
    </x:cfRule>
    <x:cfRule type="expression" dxfId="346" priority="347">
      <x:formula>J80=3</x:formula>
    </x:cfRule>
    <x:cfRule type="expression" dxfId="347" priority="348">
      <x:formula>J80="T"</x:formula>
    </x:cfRule>
  </x:conditionalFormatting>
  <x:conditionalFormatting sqref="J81:T81">
    <x:cfRule type="expression" dxfId="348" priority="349">
      <x:formula>AND(J81=1,OR($D81="Complete",$D81="Submitted"))</x:formula>
    </x:cfRule>
    <x:cfRule type="expression" dxfId="349" priority="350">
      <x:formula>AND(J81=1,$D81&lt;&gt;"Complete",$D81&lt;&gt;"Submitted")</x:formula>
    </x:cfRule>
    <x:cfRule type="expression" dxfId="350" priority="351">
      <x:formula>J81=4</x:formula>
    </x:cfRule>
    <x:cfRule type="expression" dxfId="351" priority="352">
      <x:formula>J81=2</x:formula>
    </x:cfRule>
    <x:cfRule type="expression" dxfId="352" priority="353">
      <x:formula>J81=3</x:formula>
    </x:cfRule>
    <x:cfRule type="expression" dxfId="353" priority="354">
      <x:formula>J81="T"</x:formula>
    </x:cfRule>
  </x:conditionalFormatting>
  <x:conditionalFormatting sqref="J82:T82">
    <x:cfRule type="expression" dxfId="354" priority="355">
      <x:formula>AND(J82=1,OR($D82="Complete",$D82="Submitted"))</x:formula>
    </x:cfRule>
    <x:cfRule type="expression" dxfId="355" priority="356">
      <x:formula>AND(J82=1,$D82&lt;&gt;"Complete",$D82&lt;&gt;"Submitted")</x:formula>
    </x:cfRule>
    <x:cfRule type="expression" dxfId="356" priority="357">
      <x:formula>J82=4</x:formula>
    </x:cfRule>
    <x:cfRule type="expression" dxfId="357" priority="358">
      <x:formula>J82=2</x:formula>
    </x:cfRule>
    <x:cfRule type="expression" dxfId="358" priority="359">
      <x:formula>J82=3</x:formula>
    </x:cfRule>
    <x:cfRule type="expression" dxfId="359" priority="360">
      <x:formula>J82="T"</x:formula>
    </x:cfRule>
  </x:conditionalFormatting>
  <x:conditionalFormatting sqref="J83:T83">
    <x:cfRule type="expression" dxfId="360" priority="361">
      <x:formula>AND(J83=1,OR($D83="Complete",$D83="Submitted"))</x:formula>
    </x:cfRule>
    <x:cfRule type="expression" dxfId="361" priority="362">
      <x:formula>AND(J83=1,$D83&lt;&gt;"Complete",$D83&lt;&gt;"Submitted")</x:formula>
    </x:cfRule>
    <x:cfRule type="expression" dxfId="362" priority="363">
      <x:formula>J83=4</x:formula>
    </x:cfRule>
    <x:cfRule type="expression" dxfId="363" priority="364">
      <x:formula>J83=2</x:formula>
    </x:cfRule>
    <x:cfRule type="expression" dxfId="364" priority="365">
      <x:formula>J83=3</x:formula>
    </x:cfRule>
    <x:cfRule type="expression" dxfId="365" priority="366">
      <x:formula>J83="T"</x:formula>
    </x:cfRule>
  </x:conditionalFormatting>
  <x:conditionalFormatting sqref="J84:T84">
    <x:cfRule type="expression" dxfId="366" priority="367">
      <x:formula>AND(J84=1,OR($D84="Complete",$D84="Submitted"))</x:formula>
    </x:cfRule>
    <x:cfRule type="expression" dxfId="367" priority="368">
      <x:formula>AND(J84=1,$D84&lt;&gt;"Complete",$D84&lt;&gt;"Submitted")</x:formula>
    </x:cfRule>
    <x:cfRule type="expression" dxfId="368" priority="369">
      <x:formula>J84=4</x:formula>
    </x:cfRule>
    <x:cfRule type="expression" dxfId="369" priority="370">
      <x:formula>J84=2</x:formula>
    </x:cfRule>
    <x:cfRule type="expression" dxfId="370" priority="371">
      <x:formula>J84=3</x:formula>
    </x:cfRule>
    <x:cfRule type="expression" dxfId="371" priority="372">
      <x:formula>J84="T"</x:formula>
    </x:cfRule>
  </x:conditionalFormatting>
  <x:conditionalFormatting sqref="J85:T85">
    <x:cfRule type="expression" dxfId="372" priority="373">
      <x:formula>AND(J85=1,OR($D85="Complete",$D85="Submitted"))</x:formula>
    </x:cfRule>
    <x:cfRule type="expression" dxfId="373" priority="374">
      <x:formula>AND(J85=1,$D85&lt;&gt;"Complete",$D85&lt;&gt;"Submitted")</x:formula>
    </x:cfRule>
    <x:cfRule type="expression" dxfId="374" priority="375">
      <x:formula>J85=4</x:formula>
    </x:cfRule>
    <x:cfRule type="expression" dxfId="375" priority="376">
      <x:formula>J85=2</x:formula>
    </x:cfRule>
    <x:cfRule type="expression" dxfId="376" priority="377">
      <x:formula>J85=3</x:formula>
    </x:cfRule>
    <x:cfRule type="expression" dxfId="377" priority="378">
      <x:formula>J85="T"</x:formula>
    </x:cfRule>
  </x:conditionalFormatting>
  <x:conditionalFormatting sqref="J86:T86">
    <x:cfRule type="expression" dxfId="378" priority="379">
      <x:formula>AND(J86=1,OR($D86="Complete",$D86="Submitted"))</x:formula>
    </x:cfRule>
    <x:cfRule type="expression" dxfId="379" priority="380">
      <x:formula>AND(J86=1,$D86&lt;&gt;"Complete",$D86&lt;&gt;"Submitted")</x:formula>
    </x:cfRule>
    <x:cfRule type="expression" dxfId="380" priority="381">
      <x:formula>J86=4</x:formula>
    </x:cfRule>
    <x:cfRule type="expression" dxfId="381" priority="382">
      <x:formula>J86=2</x:formula>
    </x:cfRule>
    <x:cfRule type="expression" dxfId="382" priority="383">
      <x:formula>J86=3</x:formula>
    </x:cfRule>
    <x:cfRule type="expression" dxfId="383" priority="384">
      <x:formula>J86="T"</x:formula>
    </x:cfRule>
  </x:conditionalFormatting>
  <x:conditionalFormatting sqref="J87:T87">
    <x:cfRule type="expression" dxfId="384" priority="385">
      <x:formula>AND(J87=1,OR($D87="Complete",$D87="Submitted"))</x:formula>
    </x:cfRule>
    <x:cfRule type="expression" dxfId="385" priority="386">
      <x:formula>AND(J87=1,$D87&lt;&gt;"Complete",$D87&lt;&gt;"Submitted")</x:formula>
    </x:cfRule>
    <x:cfRule type="expression" dxfId="386" priority="387">
      <x:formula>J87=4</x:formula>
    </x:cfRule>
    <x:cfRule type="expression" dxfId="387" priority="388">
      <x:formula>J87=2</x:formula>
    </x:cfRule>
    <x:cfRule type="expression" dxfId="388" priority="389">
      <x:formula>J87=3</x:formula>
    </x:cfRule>
    <x:cfRule type="expression" dxfId="389" priority="390">
      <x:formula>J87="T"</x:formula>
    </x:cfRule>
  </x:conditionalFormatting>
  <x:conditionalFormatting sqref="J88:T88">
    <x:cfRule type="expression" dxfId="390" priority="391">
      <x:formula>AND(J88=1,OR($D88="Complete",$D88="Submitted"))</x:formula>
    </x:cfRule>
    <x:cfRule type="expression" dxfId="391" priority="392">
      <x:formula>AND(J88=1,$D88&lt;&gt;"Complete",$D88&lt;&gt;"Submitted")</x:formula>
    </x:cfRule>
    <x:cfRule type="expression" dxfId="392" priority="393">
      <x:formula>J88=4</x:formula>
    </x:cfRule>
    <x:cfRule type="expression" dxfId="393" priority="394">
      <x:formula>J88=2</x:formula>
    </x:cfRule>
    <x:cfRule type="expression" dxfId="394" priority="395">
      <x:formula>J88=3</x:formula>
    </x:cfRule>
    <x:cfRule type="expression" dxfId="395" priority="396">
      <x:formula>J88="T"</x:formula>
    </x:cfRule>
  </x:conditionalFormatting>
  <x:conditionalFormatting sqref="J89:T89">
    <x:cfRule type="expression" dxfId="396" priority="397">
      <x:formula>AND(J89=1,OR($D89="Complete",$D89="Submitted"))</x:formula>
    </x:cfRule>
    <x:cfRule type="expression" dxfId="397" priority="398">
      <x:formula>AND(J89=1,$D89&lt;&gt;"Complete",$D89&lt;&gt;"Submitted")</x:formula>
    </x:cfRule>
    <x:cfRule type="expression" dxfId="398" priority="399">
      <x:formula>J89=4</x:formula>
    </x:cfRule>
    <x:cfRule type="expression" dxfId="399" priority="400">
      <x:formula>J89=2</x:formula>
    </x:cfRule>
    <x:cfRule type="expression" dxfId="400" priority="401">
      <x:formula>J89=3</x:formula>
    </x:cfRule>
    <x:cfRule type="expression" dxfId="401" priority="402">
      <x:formula>J89="T"</x:formula>
    </x:cfRule>
  </x:conditionalFormatting>
  <x:conditionalFormatting sqref="J90:T90">
    <x:cfRule type="expression" dxfId="402" priority="403">
      <x:formula>AND(J90=1,OR($D90="Complete",$D90="Submitted"))</x:formula>
    </x:cfRule>
    <x:cfRule type="expression" dxfId="403" priority="404">
      <x:formula>AND(J90=1,$D90&lt;&gt;"Complete",$D90&lt;&gt;"Submitted")</x:formula>
    </x:cfRule>
    <x:cfRule type="expression" dxfId="404" priority="405">
      <x:formula>J90=4</x:formula>
    </x:cfRule>
    <x:cfRule type="expression" dxfId="405" priority="406">
      <x:formula>J90=2</x:formula>
    </x:cfRule>
    <x:cfRule type="expression" dxfId="406" priority="407">
      <x:formula>J90=3</x:formula>
    </x:cfRule>
    <x:cfRule type="expression" dxfId="407" priority="408">
      <x:formula>J90="T"</x:formula>
    </x:cfRule>
  </x:conditionalFormatting>
  <x:conditionalFormatting sqref="J91:T91">
    <x:cfRule type="expression" dxfId="408" priority="409">
      <x:formula>AND(J91=1,OR($D91="Complete",$D91="Submitted"))</x:formula>
    </x:cfRule>
    <x:cfRule type="expression" dxfId="409" priority="410">
      <x:formula>AND(J91=1,$D91&lt;&gt;"Complete",$D91&lt;&gt;"Submitted")</x:formula>
    </x:cfRule>
    <x:cfRule type="expression" dxfId="410" priority="411">
      <x:formula>J91=4</x:formula>
    </x:cfRule>
    <x:cfRule type="expression" dxfId="411" priority="412">
      <x:formula>J91=2</x:formula>
    </x:cfRule>
    <x:cfRule type="expression" dxfId="412" priority="413">
      <x:formula>J91=3</x:formula>
    </x:cfRule>
    <x:cfRule type="expression" dxfId="413" priority="414">
      <x:formula>J91="T"</x:formula>
    </x:cfRule>
  </x:conditionalFormatting>
  <x:conditionalFormatting sqref="J92:T92">
    <x:cfRule type="expression" dxfId="414" priority="415">
      <x:formula>AND(J92=1,OR($D92="Complete",$D92="Submitted"))</x:formula>
    </x:cfRule>
    <x:cfRule type="expression" dxfId="415" priority="416">
      <x:formula>AND(J92=1,$D92&lt;&gt;"Complete",$D92&lt;&gt;"Submitted")</x:formula>
    </x:cfRule>
    <x:cfRule type="expression" dxfId="416" priority="417">
      <x:formula>J92=4</x:formula>
    </x:cfRule>
    <x:cfRule type="expression" dxfId="417" priority="418">
      <x:formula>J92=2</x:formula>
    </x:cfRule>
    <x:cfRule type="expression" dxfId="418" priority="419">
      <x:formula>J92=3</x:formula>
    </x:cfRule>
    <x:cfRule type="expression" dxfId="419" priority="420">
      <x:formula>J92="T"</x:formula>
    </x:cfRule>
  </x:conditionalFormatting>
  <x:conditionalFormatting sqref="J93:T93">
    <x:cfRule type="expression" dxfId="420" priority="421">
      <x:formula>AND(J93=1,OR($D93="Complete",$D93="Submitted"))</x:formula>
    </x:cfRule>
    <x:cfRule type="expression" dxfId="421" priority="422">
      <x:formula>AND(J93=1,$D93&lt;&gt;"Complete",$D93&lt;&gt;"Submitted")</x:formula>
    </x:cfRule>
    <x:cfRule type="expression" dxfId="422" priority="423">
      <x:formula>J93=4</x:formula>
    </x:cfRule>
    <x:cfRule type="expression" dxfId="423" priority="424">
      <x:formula>J93=2</x:formula>
    </x:cfRule>
    <x:cfRule type="expression" dxfId="424" priority="425">
      <x:formula>J93=3</x:formula>
    </x:cfRule>
    <x:cfRule type="expression" dxfId="425" priority="426">
      <x:formula>J93="T"</x:formula>
    </x:cfRule>
  </x:conditionalFormatting>
  <x:conditionalFormatting sqref="J94:T94">
    <x:cfRule type="expression" dxfId="426" priority="427">
      <x:formula>AND(J94=1,OR($D94="Complete",$D94="Submitted"))</x:formula>
    </x:cfRule>
    <x:cfRule type="expression" dxfId="427" priority="428">
      <x:formula>AND(J94=1,$D94&lt;&gt;"Complete",$D94&lt;&gt;"Submitted")</x:formula>
    </x:cfRule>
    <x:cfRule type="expression" dxfId="428" priority="429">
      <x:formula>J94=4</x:formula>
    </x:cfRule>
    <x:cfRule type="expression" dxfId="429" priority="430">
      <x:formula>J94=2</x:formula>
    </x:cfRule>
    <x:cfRule type="expression" dxfId="430" priority="431">
      <x:formula>J94=3</x:formula>
    </x:cfRule>
    <x:cfRule type="expression" dxfId="431" priority="432">
      <x:formula>J94="T"</x:formula>
    </x:cfRule>
  </x:conditionalFormatting>
  <x:conditionalFormatting sqref="J95:T95">
    <x:cfRule type="expression" dxfId="432" priority="433">
      <x:formula>AND(J95=1,OR($D95="Complete",$D95="Submitted"))</x:formula>
    </x:cfRule>
    <x:cfRule type="expression" dxfId="433" priority="434">
      <x:formula>AND(J95=1,$D95&lt;&gt;"Complete",$D95&lt;&gt;"Submitted")</x:formula>
    </x:cfRule>
    <x:cfRule type="expression" dxfId="434" priority="435">
      <x:formula>J95=4</x:formula>
    </x:cfRule>
    <x:cfRule type="expression" dxfId="435" priority="436">
      <x:formula>J95=2</x:formula>
    </x:cfRule>
    <x:cfRule type="expression" dxfId="436" priority="437">
      <x:formula>J95=3</x:formula>
    </x:cfRule>
    <x:cfRule type="expression" dxfId="437" priority="438">
      <x:formula>J95="T"</x:formula>
    </x:cfRule>
  </x:conditionalFormatting>
  <x:conditionalFormatting sqref="J96:T96">
    <x:cfRule type="expression" dxfId="438" priority="439">
      <x:formula>AND(J96=1,OR($D96="Complete",$D96="Submitted"))</x:formula>
    </x:cfRule>
    <x:cfRule type="expression" dxfId="439" priority="440">
      <x:formula>AND(J96=1,$D96&lt;&gt;"Complete",$D96&lt;&gt;"Submitted")</x:formula>
    </x:cfRule>
    <x:cfRule type="expression" dxfId="440" priority="441">
      <x:formula>J96=4</x:formula>
    </x:cfRule>
    <x:cfRule type="expression" dxfId="441" priority="442">
      <x:formula>J96=2</x:formula>
    </x:cfRule>
    <x:cfRule type="expression" dxfId="442" priority="443">
      <x:formula>J96=3</x:formula>
    </x:cfRule>
    <x:cfRule type="expression" dxfId="443" priority="444">
      <x:formula>J96="T"</x:formula>
    </x:cfRule>
  </x:conditionalFormatting>
  <x:conditionalFormatting sqref="J97:T97">
    <x:cfRule type="expression" dxfId="444" priority="445">
      <x:formula>AND(J97=1,OR($D97="Complete",$D97="Submitted"))</x:formula>
    </x:cfRule>
    <x:cfRule type="expression" dxfId="445" priority="446">
      <x:formula>AND(J97=1,$D97&lt;&gt;"Complete",$D97&lt;&gt;"Submitted")</x:formula>
    </x:cfRule>
    <x:cfRule type="expression" dxfId="446" priority="447">
      <x:formula>J97=4</x:formula>
    </x:cfRule>
    <x:cfRule type="expression" dxfId="447" priority="448">
      <x:formula>J97=2</x:formula>
    </x:cfRule>
    <x:cfRule type="expression" dxfId="448" priority="449">
      <x:formula>J97=3</x:formula>
    </x:cfRule>
    <x:cfRule type="expression" dxfId="449" priority="450">
      <x:formula>J97="T"</x:formula>
    </x:cfRule>
  </x:conditionalFormatting>
  <x:conditionalFormatting sqref="J98:T98">
    <x:cfRule type="expression" dxfId="450" priority="451">
      <x:formula>AND(J98=1,OR($D98="Complete",$D98="Submitted"))</x:formula>
    </x:cfRule>
    <x:cfRule type="expression" dxfId="451" priority="452">
      <x:formula>AND(J98=1,$D98&lt;&gt;"Complete",$D98&lt;&gt;"Submitted")</x:formula>
    </x:cfRule>
    <x:cfRule type="expression" dxfId="452" priority="453">
      <x:formula>J98=4</x:formula>
    </x:cfRule>
    <x:cfRule type="expression" dxfId="453" priority="454">
      <x:formula>J98=2</x:formula>
    </x:cfRule>
    <x:cfRule type="expression" dxfId="454" priority="455">
      <x:formula>J98=3</x:formula>
    </x:cfRule>
    <x:cfRule type="expression" dxfId="455" priority="456">
      <x:formula>J98="T"</x:formula>
    </x:cfRule>
  </x:conditionalFormatting>
  <x:conditionalFormatting sqref="J99:T99">
    <x:cfRule type="expression" dxfId="456" priority="457">
      <x:formula>AND(J99=1,OR($D99="Complete",$D99="Submitted"))</x:formula>
    </x:cfRule>
    <x:cfRule type="expression" dxfId="457" priority="458">
      <x:formula>AND(J99=1,$D99&lt;&gt;"Complete",$D99&lt;&gt;"Submitted")</x:formula>
    </x:cfRule>
    <x:cfRule type="expression" dxfId="458" priority="459">
      <x:formula>J99=4</x:formula>
    </x:cfRule>
    <x:cfRule type="expression" dxfId="459" priority="460">
      <x:formula>J99=2</x:formula>
    </x:cfRule>
    <x:cfRule type="expression" dxfId="460" priority="461">
      <x:formula>J99=3</x:formula>
    </x:cfRule>
    <x:cfRule type="expression" dxfId="461" priority="462">
      <x:formula>J99="T"</x:formula>
    </x:cfRule>
  </x:conditionalFormatting>
  <x:conditionalFormatting sqref="J100:T100">
    <x:cfRule type="expression" dxfId="462" priority="463">
      <x:formula>AND(J100=1,OR($D100="Complete",$D100="Submitted"))</x:formula>
    </x:cfRule>
    <x:cfRule type="expression" dxfId="463" priority="464">
      <x:formula>AND(J100=1,$D100&lt;&gt;"Complete",$D100&lt;&gt;"Submitted")</x:formula>
    </x:cfRule>
    <x:cfRule type="expression" dxfId="464" priority="465">
      <x:formula>J100=4</x:formula>
    </x:cfRule>
    <x:cfRule type="expression" dxfId="465" priority="466">
      <x:formula>J100=2</x:formula>
    </x:cfRule>
    <x:cfRule type="expression" dxfId="466" priority="467">
      <x:formula>J100=3</x:formula>
    </x:cfRule>
    <x:cfRule type="expression" dxfId="467" priority="468">
      <x:formula>J100="T"</x:formula>
    </x:cfRule>
  </x:conditionalFormatting>
  <x:conditionalFormatting sqref="J101:T101">
    <x:cfRule type="expression" dxfId="468" priority="469">
      <x:formula>AND(J101=1,OR($D101="Complete",$D101="Submitted"))</x:formula>
    </x:cfRule>
    <x:cfRule type="expression" dxfId="469" priority="470">
      <x:formula>AND(J101=1,$D101&lt;&gt;"Complete",$D101&lt;&gt;"Submitted")</x:formula>
    </x:cfRule>
    <x:cfRule type="expression" dxfId="470" priority="471">
      <x:formula>J101=4</x:formula>
    </x:cfRule>
    <x:cfRule type="expression" dxfId="471" priority="472">
      <x:formula>J101=2</x:formula>
    </x:cfRule>
    <x:cfRule type="expression" dxfId="472" priority="473">
      <x:formula>J101=3</x:formula>
    </x:cfRule>
    <x:cfRule type="expression" dxfId="473" priority="474">
      <x:formula>J101="T"</x:formula>
    </x:cfRule>
  </x:conditionalFormatting>
  <x:conditionalFormatting sqref="J102:T102">
    <x:cfRule type="expression" dxfId="474" priority="475">
      <x:formula>AND(J102=1,OR($D102="Complete",$D102="Submitted"))</x:formula>
    </x:cfRule>
    <x:cfRule type="expression" dxfId="475" priority="476">
      <x:formula>AND(J102=1,$D102&lt;&gt;"Complete",$D102&lt;&gt;"Submitted")</x:formula>
    </x:cfRule>
    <x:cfRule type="expression" dxfId="476" priority="477">
      <x:formula>J102=4</x:formula>
    </x:cfRule>
    <x:cfRule type="expression" dxfId="477" priority="478">
      <x:formula>J102=2</x:formula>
    </x:cfRule>
    <x:cfRule type="expression" dxfId="478" priority="479">
      <x:formula>J102=3</x:formula>
    </x:cfRule>
    <x:cfRule type="expression" dxfId="479" priority="480">
      <x:formula>J102="T"</x:formula>
    </x:cfRule>
  </x:conditionalFormatting>
  <x:conditionalFormatting sqref="J103:T103">
    <x:cfRule type="expression" dxfId="480" priority="481">
      <x:formula>AND(J103=1,OR($D103="Complete",$D103="Submitted"))</x:formula>
    </x:cfRule>
    <x:cfRule type="expression" dxfId="481" priority="482">
      <x:formula>AND(J103=1,$D103&lt;&gt;"Complete",$D103&lt;&gt;"Submitted")</x:formula>
    </x:cfRule>
    <x:cfRule type="expression" dxfId="482" priority="483">
      <x:formula>J103=4</x:formula>
    </x:cfRule>
    <x:cfRule type="expression" dxfId="483" priority="484">
      <x:formula>J103=2</x:formula>
    </x:cfRule>
    <x:cfRule type="expression" dxfId="484" priority="485">
      <x:formula>J103=3</x:formula>
    </x:cfRule>
    <x:cfRule type="expression" dxfId="485" priority="486">
      <x:formula>J103="T"</x:formula>
    </x:cfRule>
  </x:conditionalFormatting>
  <x:conditionalFormatting sqref="J104:T104">
    <x:cfRule type="expression" dxfId="486" priority="487">
      <x:formula>AND(J104=1,OR($D104="Complete",$D104="Submitted"))</x:formula>
    </x:cfRule>
    <x:cfRule type="expression" dxfId="487" priority="488">
      <x:formula>AND(J104=1,$D104&lt;&gt;"Complete",$D104&lt;&gt;"Submitted")</x:formula>
    </x:cfRule>
    <x:cfRule type="expression" dxfId="488" priority="489">
      <x:formula>J104=4</x:formula>
    </x:cfRule>
    <x:cfRule type="expression" dxfId="489" priority="490">
      <x:formula>J104=2</x:formula>
    </x:cfRule>
    <x:cfRule type="expression" dxfId="490" priority="491">
      <x:formula>J104=3</x:formula>
    </x:cfRule>
    <x:cfRule type="expression" dxfId="491" priority="492">
      <x:formula>J104="T"</x:formula>
    </x:cfRule>
  </x:conditionalFormatting>
  <x:conditionalFormatting sqref="J105:T105">
    <x:cfRule type="expression" dxfId="492" priority="493">
      <x:formula>AND(J105=1,OR($D105="Complete",$D105="Submitted"))</x:formula>
    </x:cfRule>
    <x:cfRule type="expression" dxfId="493" priority="494">
      <x:formula>AND(J105=1,$D105&lt;&gt;"Complete",$D105&lt;&gt;"Submitted")</x:formula>
    </x:cfRule>
    <x:cfRule type="expression" dxfId="494" priority="495">
      <x:formula>J105=4</x:formula>
    </x:cfRule>
    <x:cfRule type="expression" dxfId="495" priority="496">
      <x:formula>J105=2</x:formula>
    </x:cfRule>
    <x:cfRule type="expression" dxfId="496" priority="497">
      <x:formula>J105=3</x:formula>
    </x:cfRule>
    <x:cfRule type="expression" dxfId="497" priority="498">
      <x:formula>J105="T"</x:formula>
    </x:cfRule>
  </x:conditionalFormatting>
  <x:conditionalFormatting sqref="J106:T106">
    <x:cfRule type="expression" dxfId="498" priority="499">
      <x:formula>AND(J106=1,OR($D106="Complete",$D106="Submitted"))</x:formula>
    </x:cfRule>
    <x:cfRule type="expression" dxfId="499" priority="500">
      <x:formula>AND(J106=1,$D106&lt;&gt;"Complete",$D106&lt;&gt;"Submitted")</x:formula>
    </x:cfRule>
    <x:cfRule type="expression" dxfId="500" priority="501">
      <x:formula>J106=4</x:formula>
    </x:cfRule>
    <x:cfRule type="expression" dxfId="501" priority="502">
      <x:formula>J106=2</x:formula>
    </x:cfRule>
    <x:cfRule type="expression" dxfId="502" priority="503">
      <x:formula>J106=3</x:formula>
    </x:cfRule>
    <x:cfRule type="expression" dxfId="503" priority="504">
      <x:formula>J106="T"</x:formula>
    </x:cfRule>
  </x:conditionalFormatting>
  <x:conditionalFormatting sqref="J107:T107">
    <x:cfRule type="expression" dxfId="504" priority="505">
      <x:formula>AND(J107=1,OR($D107="Complete",$D107="Submitted"))</x:formula>
    </x:cfRule>
    <x:cfRule type="expression" dxfId="505" priority="506">
      <x:formula>AND(J107=1,$D107&lt;&gt;"Complete",$D107&lt;&gt;"Submitted")</x:formula>
    </x:cfRule>
    <x:cfRule type="expression" dxfId="506" priority="507">
      <x:formula>J107=4</x:formula>
    </x:cfRule>
    <x:cfRule type="expression" dxfId="507" priority="508">
      <x:formula>J107=2</x:formula>
    </x:cfRule>
    <x:cfRule type="expression" dxfId="508" priority="509">
      <x:formula>J107=3</x:formula>
    </x:cfRule>
    <x:cfRule type="expression" dxfId="509" priority="510">
      <x:formula>J107="T"</x:formula>
    </x:cfRule>
  </x:conditionalFormatting>
  <x:conditionalFormatting sqref="J108:T108">
    <x:cfRule type="expression" dxfId="510" priority="511">
      <x:formula>AND(J108=1,OR($D108="Complete",$D108="Submitted"))</x:formula>
    </x:cfRule>
    <x:cfRule type="expression" dxfId="511" priority="512">
      <x:formula>AND(J108=1,$D108&lt;&gt;"Complete",$D108&lt;&gt;"Submitted")</x:formula>
    </x:cfRule>
    <x:cfRule type="expression" dxfId="512" priority="513">
      <x:formula>J108=4</x:formula>
    </x:cfRule>
    <x:cfRule type="expression" dxfId="513" priority="514">
      <x:formula>J108=2</x:formula>
    </x:cfRule>
    <x:cfRule type="expression" dxfId="514" priority="515">
      <x:formula>J108=3</x:formula>
    </x:cfRule>
    <x:cfRule type="expression" dxfId="515" priority="516">
      <x:formula>J108="T"</x:formula>
    </x:cfRule>
  </x:conditionalFormatting>
  <x:conditionalFormatting sqref="J109:T109">
    <x:cfRule type="expression" dxfId="516" priority="517">
      <x:formula>AND(J109=1,OR($D109="Complete",$D109="Submitted"))</x:formula>
    </x:cfRule>
    <x:cfRule type="expression" dxfId="517" priority="518">
      <x:formula>AND(J109=1,$D109&lt;&gt;"Complete",$D109&lt;&gt;"Submitted")</x:formula>
    </x:cfRule>
    <x:cfRule type="expression" dxfId="518" priority="519">
      <x:formula>J109=4</x:formula>
    </x:cfRule>
    <x:cfRule type="expression" dxfId="519" priority="520">
      <x:formula>J109=2</x:formula>
    </x:cfRule>
    <x:cfRule type="expression" dxfId="520" priority="521">
      <x:formula>J109=3</x:formula>
    </x:cfRule>
    <x:cfRule type="expression" dxfId="521" priority="522">
      <x:formula>J109="T"</x:formula>
    </x:cfRule>
  </x:conditionalFormatting>
  <x:conditionalFormatting sqref="D17:D109">
    <x:cfRule type="containsText" dxfId="522" priority="523" operator="containsText" text="Complete"/>
    <x:cfRule type="containsText" dxfId="523" priority="524" operator="containsText" text="Submitted"/>
    <x:cfRule type="containsText" dxfId="524" priority="525" operator="containsText" text="In progress"/>
    <x:cfRule type="containsText" dxfId="525" priority="526" operator="containsText" text="Unscheduled"/>
    <x:cfRule type="containsText" dxfId="526" priority="527" operator="containsText" text="Proposed"/>
    <x:cfRule type="containsText" dxfId="527" priority="528" operator="containsText" text="Rehearsed"/>
    <x:cfRule type="containsText" dxfId="528" priority="529" operator="containsText" text="Prepared"/>
    <x:cfRule type="containsText" dxfId="529" priority="530" operator="containsText" text="Deferred"/>
    <x:cfRule type="containsText" dxfId="530" priority="531" operator="containsText" text="Review dates"/>
  </x:conditionalFormatting>
  <x:conditionalFormatting sqref="G17:G109">
    <x:cfRule type="containsText" dxfId="531" priority="532" operator="containsText" text="Review"/>
  </x:conditionalFormatting>
  <x:dataValidations count="1">
    <x:dataValidation type="list" sqref="D17:D109">
      <x:formula1>"Complete,Submitted,In progress,Planned,Rehearsed,Prepared,Unscheduled,Proposed,Deferred,Optional"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CC7CE"/>
  </x:sheetPr>
  <x:sheetViews>
    <x:sheetView showGridLines="0" workbookViewId="0">
      <x:pane xSplit="2" ySplit="23" topLeftCell="C24" activePane="bottomRight" state="frozen"/>
    </x:sheetView>
  </x:sheetViews>
  <x:sheetFormatPr defaultRowHeight="15"/>
  <x:cols>
    <x:col min="1" max="1" width="5.559999942779541" hidden="0" customWidth="1"/>
    <x:col min="2" max="2" width="43.33000183105469" hidden="0" customWidth="1"/>
    <x:col min="3" max="3" width="9.4399995803833" hidden="0" customWidth="1"/>
    <x:col min="4" max="4" width="11.670000076293945" hidden="0" customWidth="1"/>
    <x:col min="5" max="5" width="9.4399995803833" hidden="0" customWidth="1"/>
    <x:col min="6" max="6" width="5" hidden="0" customWidth="1"/>
    <x:col min="7" max="7" width="16.670000076293945" hidden="0" customWidth="1"/>
    <x:col min="8" max="8" width="18.329999923706055" hidden="0" customWidth="1"/>
    <x:col min="9" max="9" width="17.780000686645508" hidden="0" customWidth="1"/>
    <x:col min="10" max="10" width="10" hidden="0" customWidth="1"/>
    <x:col min="11" max="11" width="7.21999979019165" hidden="0" customWidth="1"/>
    <x:col min="12" max="12" width="11.109999656677246" hidden="0" customWidth="1"/>
    <x:col min="13" max="13" width="45.56000137329101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3" t="str">
        <x:v>Source record and schedule inputs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40" customHeight="1">
      <x:c r="A4" s="12" t="str">
        <x:v>Input</x:v>
      </x:c>
      <x:c r="B4" s="13" t="str"/>
      <x:c r="C4" s="13" t="str">
        <x:v>Value</x:v>
      </x:c>
      <x:c r="D4" s="13" t="str"/>
      <x:c r="E4" s="14" t="str">
        <x:v>Source</x:v>
      </x:c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v>Week 9 status date</x:v>
      </x:c>
      <x:c r="B5" s="2"/>
      <x:c r="C5" s="16" t="d">
        <x:v>2026-10-23T00:00:00.000Z</x:v>
      </x:c>
      <x:c r="D5" s="2"/>
      <x:c r="E5" s="2" t="str">
        <x:v>Week 9 reporting period</x:v>
      </x:c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 t="str">
        <x:v>Prototype and slides submission</x:v>
      </x:c>
      <x:c r="B6" s="2"/>
      <x:c r="C6" s="16" t="d">
        <x:v>2026-10-26T00:00:00.000Z</x:v>
      </x:c>
      <x:c r="D6" s="2"/>
      <x:c r="E6" s="2" t="str">
        <x:v>Team deadline update</x:v>
      </x:c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v>First possible live presentation</x:v>
      </x:c>
      <x:c r="B7" s="2"/>
      <x:c r="C7" s="16" t="d">
        <x:v>2026-10-26T00:00:00.000Z</x:v>
      </x:c>
      <x:c r="D7" s="2"/>
      <x:c r="E7" s="2" t="str">
        <x:v>Team schedule clarification</x:v>
      </x:c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" t="str">
        <x:v>Second possible live presentation</x:v>
      </x:c>
      <x:c r="B8" s="2"/>
      <x:c r="C8" s="16" t="d">
        <x:v>2026-10-28T00:00:00.000Z</x:v>
      </x:c>
      <x:c r="D8" s="2"/>
      <x:c r="E8" s="2" t="str">
        <x:v>Random selection; no session assigned</x:v>
      </x:c>
      <x:c r="F8" s="2"/>
      <x:c r="G8" s="2"/>
      <x:c r="H8" s="2"/>
      <x:c r="I8" s="2"/>
      <x:c r="J8" s="2"/>
      <x:c r="K8" s="2"/>
      <x:c r="L8" s="2"/>
      <x:c r="M8" s="2"/>
      <x:c r="N8" s="2"/>
    </x:row>
    <x:row r="9" ht="25" customHeight="1">
      <x:c r="A9" s="2" t="str">
        <x:v>MVP submission</x:v>
      </x:c>
      <x:c r="B9" s="2"/>
      <x:c r="C9" s="16" t="d">
        <x:v>2026-11-02T00:00:00.000Z</x:v>
      </x:c>
      <x:c r="D9" s="2"/>
      <x:c r="E9" s="2" t="str">
        <x:v>Team deadline update</x:v>
      </x:c>
      <x:c r="F9" s="2"/>
      <x:c r="G9" s="2"/>
      <x:c r="H9" s="2"/>
      <x:c r="I9" s="2"/>
      <x:c r="J9" s="2"/>
      <x:c r="K9" s="2"/>
      <x:c r="L9" s="2"/>
      <x:c r="M9" s="2"/>
      <x:c r="N9" s="2"/>
    </x:row>
    <x:row r="10" ht="25" customHeight="1">
      <x:c r="A10" s="2" t="str">
        <x:v>MVP progress check-in</x:v>
      </x:c>
      <x:c r="B10" s="2"/>
      <x:c r="C10" s="16" t="d">
        <x:v>2026-10-30T00:00:00.000Z</x:v>
      </x:c>
      <x:c r="D10" s="2"/>
      <x:c r="E10" s="2" t="str">
        <x:v>Submitted Gantt, PDF p. 12, C14</x:v>
      </x:c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5" customHeight="1">
      <x:c r="A11" s="2" t="str">
        <x:v>V&amp;V progress check-in</x:v>
      </x:c>
      <x:c r="B11" s="2"/>
      <x:c r="C11" s="16" t="d">
        <x:v>2026-11-06T00:00:00.000Z</x:v>
      </x:c>
      <x:c r="D11" s="2"/>
      <x:c r="E11" s="2" t="str">
        <x:v>Submitted Gantt, PDF p. 12, C16</x:v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5" customHeight="1">
      <x:c r="A13" s="17" t="str">
        <x:v>Additional sources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5" customHeight="1">
      <x:c r="A14" s="2" t="str">
        <x:v>Week 8 project log</x:v>
      </x:c>
      <x:c r="B14" s="2" t="str"/>
      <x:c r="C14" s="2" t="str">
        <x:v>Prototype leads, starts, earlier completion and progress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5" customHeight="1">
      <x:c r="A15" s="2" t="str">
        <x:v>Week 9 team update</x:v>
      </x:c>
      <x:c r="B15" s="2" t="str"/>
      <x:c r="C15" s="2" t="str">
        <x:v>Current work, deadlines, resubmission and proposed follow-ups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5" customHeight="1">
      <x:c r="A16" s="2" t="str">
        <x:v>Verification and Validation Plan</x:v>
      </x:c>
      <x:c r="B16" s="2" t="str"/>
      <x:c r="C16" s="2" t="str">
        <x:v>Rev B, pp. 1–2 and 11–14. Lab study and deferred field evidence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5" customHeight="1">
      <x:c r="A17" s="2" t="str">
        <x:v>MVP assignment</x:v>
      </x:c>
      <x:c r="B17" s="2" t="str"/>
      <x:c r="C17" s="2" t="str">
        <x:v>pp. 1–4 and Canvas rubric. Improvement after review and test readiness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5" customHeight="1">
      <x:c r="A18" s="2" t="str">
        <x:v>Source conventions</x:v>
      </x:c>
      <x:c r="B18" s="2" t="str"/>
      <x:c r="C18" s="2" t="str">
        <x:v>All four = Ayan, Daniel, Emmett and Joseph. Blank Complete cells are not completion evidence.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5" customHeight="1">
      <x:c r="A20" s="17" t="str">
        <x:v>Submitted Gantt baseline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5" customHeight="1">
      <x:c r="A21" s="2" t="str">
        <x:v>Concept selection and gantt chart.docx.pdf, pp. 9–13. Revision 1, October 12, Daniel Lim. Original printed values below.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40" customHeight="1">
      <x:c r="A23" s="12" t="str">
        <x:v>ID</x:v>
      </x:c>
      <x:c r="B23" s="13" t="str">
        <x:v>Task</x:v>
      </x:c>
      <x:c r="C23" s="13" t="str">
        <x:v>Start</x:v>
      </x:c>
      <x:c r="D23" s="13" t="str">
        <x:v>Type as printed</x:v>
      </x:c>
      <x:c r="E23" s="13" t="str">
        <x:v>End</x:v>
      </x:c>
      <x:c r="F23" s="13" t="str">
        <x:v>Days</x:v>
      </x:c>
      <x:c r="G23" s="13" t="str">
        <x:v>Predecessors as printed</x:v>
      </x:c>
      <x:c r="H23" s="13" t="str">
        <x:v>Specs as printed</x:v>
      </x:c>
      <x:c r="I23" s="13" t="str">
        <x:v>Responsible</x:v>
      </x:c>
      <x:c r="J23" s="13" t="str">
        <x:v>Complete text</x:v>
      </x:c>
      <x:c r="K23" s="13" t="str">
        <x:v>PDF page</x:v>
      </x:c>
      <x:c r="L23" s="13" t="str">
        <x:v>Current rows</x:v>
      </x:c>
      <x:c r="M23" s="14" t="str">
        <x:v>Reconciliation</x:v>
      </x:c>
      <x:c r="N23" s="2"/>
    </x:row>
    <x:row r="24" ht="40" customHeight="1">
      <x:c r="A24" s="19" t="str">
        <x:v>R1</x:v>
      </x:c>
      <x:c r="B24" s="20" t="str">
        <x:v>Finalize concept choice and Gantt submission</x:v>
      </x:c>
      <x:c r="C24" s="21" t="d">
        <x:v>2026-09-28T00:00:00.000Z</x:v>
      </x:c>
      <x:c r="D24" s="19" t="str">
        <x:v>28</x:v>
      </x:c>
      <x:c r="E24" s="21" t="d">
        <x:v>2026-09-28T00:00:00.000Z</x:v>
      </x:c>
      <x:c r="F24" s="19" t="n">
        <x:v>1</x:v>
      </x:c>
      <x:c r="G24" s="20" t="str">
        <x:v>0</x:v>
      </x:c>
      <x:c r="H24" s="20" t="str">
        <x:v>0</x:v>
      </x:c>
      <x:c r="I24" s="20" t="str">
        <x:v>All four</x:v>
      </x:c>
      <x:c r="J24" s="19"/>
      <x:c r="K24" s="19" t="n">
        <x:v>9</x:v>
      </x:c>
      <x:c r="L24" s="19" t="str">
        <x:v>R1, R8</x:v>
      </x:c>
      <x:c r="M24" s="20" t="str">
        <x:v>Malformed type/dependency/spec fields corrected in Full schedule.</x:v>
      </x:c>
      <x:c r="N24" s="2"/>
    </x:row>
    <x:row r="25" ht="40" customHeight="1">
      <x:c r="A25" s="22" t="str">
        <x:v>R2</x:v>
      </x:c>
      <x:c r="B25" s="23" t="str">
        <x:v>Define subsystem interfaces and prototype questions</x:v>
      </x:c>
      <x:c r="C25" s="24" t="d">
        <x:v>2026-09-29T00:00:00.000Z</x:v>
      </x:c>
      <x:c r="D25" s="22" t="str">
        <x:v>29</x:v>
      </x:c>
      <x:c r="E25" s="24" t="d">
        <x:v>2026-10-01T00:00:00.000Z</x:v>
      </x:c>
      <x:c r="F25" s="22" t="n">
        <x:v>3</x:v>
      </x:c>
      <x:c r="G25" s="23" t="str">
        <x:v>0</x:v>
      </x:c>
      <x:c r="H25" s="23" t="str">
        <x:v>2</x:v>
      </x:c>
      <x:c r="I25" s="23" t="str">
        <x:v>All four</x:v>
      </x:c>
      <x:c r="J25" s="22"/>
      <x:c r="K25" s="22" t="n">
        <x:v>9</x:v>
      </x:c>
      <x:c r="L25" s="22" t="str">
        <x:v>R2</x:v>
      </x:c>
      <x:c r="M25" s="23" t="str">
        <x:v>Malformed type/dependency/spec fields corrected in Full schedule.</x:v>
      </x:c>
      <x:c r="N25" s="2"/>
    </x:row>
    <x:row r="26" ht="40" customHeight="1">
      <x:c r="A26" s="22" t="str">
        <x:v>R3</x:v>
      </x:c>
      <x:c r="B26" s="23" t="str">
        <x:v>Write architecture and three-prototype plan</x:v>
      </x:c>
      <x:c r="C26" s="24" t="d">
        <x:v>2026-10-02T00:00:00.000Z</x:v>
      </x:c>
      <x:c r="D26" s="22" t="str">
        <x:v>2</x:v>
      </x:c>
      <x:c r="E26" s="24" t="d">
        <x:v>2026-10-05T00:00:00.000Z</x:v>
      </x:c>
      <x:c r="F26" s="22" t="n">
        <x:v>4</x:v>
      </x:c>
      <x:c r="G26" s="23" t="str">
        <x:v>0</x:v>
      </x:c>
      <x:c r="H26" s="23" t="str">
        <x:v>3</x:v>
      </x:c>
      <x:c r="I26" s="23" t="str">
        <x:v>All four</x:v>
      </x:c>
      <x:c r="J26" s="22"/>
      <x:c r="K26" s="22" t="n">
        <x:v>9</x:v>
      </x:c>
      <x:c r="L26" s="22" t="str">
        <x:v>R3</x:v>
      </x:c>
      <x:c r="M26" s="23" t="str">
        <x:v>Malformed type/dependency/spec fields corrected in Full schedule.</x:v>
      </x:c>
      <x:c r="N26" s="2"/>
    </x:row>
    <x:row r="27" ht="40" customHeight="1">
      <x:c r="A27" s="22" t="str">
        <x:v>R4</x:v>
      </x:c>
      <x:c r="B27" s="23" t="str">
        <x:v>Define measurable verification and validation methods</x:v>
      </x:c>
      <x:c r="C27" s="24" t="d">
        <x:v>2026-10-06T00:00:00.000Z</x:v>
      </x:c>
      <x:c r="D27" s="22" t="str">
        <x:v>6</x:v>
      </x:c>
      <x:c r="E27" s="24" t="d">
        <x:v>2026-10-09T00:00:00.000Z</x:v>
      </x:c>
      <x:c r="F27" s="22" t="n">
        <x:v>4</x:v>
      </x:c>
      <x:c r="G27" s="23" t="str">
        <x:v>0</x:v>
      </x:c>
      <x:c r="H27" s="23" t="str">
        <x:v>3</x:v>
      </x:c>
      <x:c r="I27" s="23" t="str">
        <x:v>All four</x:v>
      </x:c>
      <x:c r="J27" s="22"/>
      <x:c r="K27" s="22" t="n">
        <x:v>9</x:v>
      </x:c>
      <x:c r="L27" s="22" t="str">
        <x:v>R4</x:v>
      </x:c>
      <x:c r="M27" s="23" t="str">
        <x:v>Malformed type/dependency/spec fields corrected in Full schedule.</x:v>
      </x:c>
      <x:c r="N27" s="2"/>
    </x:row>
    <x:row r="28" ht="40" customHeight="1">
      <x:c r="A28" s="22" t="str">
        <x:v>R5</x:v>
      </x:c>
      <x:c r="B28" s="23" t="str">
        <x:v>Review and submit verification and validation plan</x:v>
      </x:c>
      <x:c r="C28" s="24" t="d">
        <x:v>2026-10-12T00:00:00.000Z</x:v>
      </x:c>
      <x:c r="D28" s="22" t="str">
        <x:v>12</x:v>
      </x:c>
      <x:c r="E28" s="24" t="d">
        <x:v>2026-10-12T00:00:00.000Z</x:v>
      </x:c>
      <x:c r="F28" s="22" t="n">
        <x:v>1</x:v>
      </x:c>
      <x:c r="G28" s="23" t="str">
        <x:v>0</x:v>
      </x:c>
      <x:c r="H28" s="23" t="str">
        <x:v>0</x:v>
      </x:c>
      <x:c r="I28" s="23" t="str">
        <x:v>All four</x:v>
      </x:c>
      <x:c r="J28" s="22"/>
      <x:c r="K28" s="22" t="n">
        <x:v>9</x:v>
      </x:c>
      <x:c r="L28" s="22" t="str">
        <x:v>R5</x:v>
      </x:c>
      <x:c r="M28" s="23" t="str">
        <x:v>Malformed type/dependency/spec fields corrected in Full schedule.</x:v>
      </x:c>
      <x:c r="N28" s="2"/>
    </x:row>
    <x:row r="29" ht="40" customHeight="1">
      <x:c r="A29" s="22" t="str">
        <x:v>S1</x:v>
      </x:c>
      <x:c r="B29" s="23" t="str">
        <x:v>Design seed-loss mechanism and bird clearances</x:v>
      </x:c>
      <x:c r="C29" s="24" t="d">
        <x:v>2026-09-29T00:00:00.000Z</x:v>
      </x:c>
      <x:c r="D29" s="22" t="str">
        <x:v>29</x:v>
      </x:c>
      <x:c r="E29" s="24" t="d">
        <x:v>2026-10-02T00:00:00.000Z</x:v>
      </x:c>
      <x:c r="F29" s="22" t="n">
        <x:v>4</x:v>
      </x:c>
      <x:c r="G29" s="23" t="str">
        <x:v>0</x:v>
      </x:c>
      <x:c r="H29" s="23" t="str">
        <x:v>3</x:v>
      </x:c>
      <x:c r="I29" s="23" t="str">
        <x:v>All four</x:v>
      </x:c>
      <x:c r="J29" s="22"/>
      <x:c r="K29" s="22" t="n">
        <x:v>9</x:v>
      </x:c>
      <x:c r="L29" s="22" t="str">
        <x:v>PR1</x:v>
      </x:c>
      <x:c r="M29" s="23" t="str">
        <x:v>Reconciled to actual prototype sequence; original task completion not inferred.</x:v>
      </x:c>
      <x:c r="N29" s="2"/>
    </x:row>
    <x:row r="30" ht="40" customHeight="1">
      <x:c r="A30" s="22" t="str">
        <x:v>S2</x:v>
      </x:c>
      <x:c r="B30" s="23" t="str">
        <x:v>Source stock materials and build quick mockup</x:v>
      </x:c>
      <x:c r="C30" s="24" t="d">
        <x:v>2026-10-05T00:00:00.000Z</x:v>
      </x:c>
      <x:c r="D30" s="22" t="str">
        <x:v>5</x:v>
      </x:c>
      <x:c r="E30" s="24" t="d">
        <x:v>2026-10-07T00:00:00.000Z</x:v>
      </x:c>
      <x:c r="F30" s="22" t="n">
        <x:v>3</x:v>
      </x:c>
      <x:c r="G30" s="23" t="str">
        <x:v>0</x:v>
      </x:c>
      <x:c r="H30" s="23" t="str">
        <x:v>2</x:v>
      </x:c>
      <x:c r="I30" s="23" t="str">
        <x:v>Daniel</x:v>
      </x:c>
      <x:c r="J30" s="22"/>
      <x:c r="K30" s="22" t="n">
        <x:v>9</x:v>
      </x:c>
      <x:c r="L30" s="22" t="str">
        <x:v>PR2</x:v>
      </x:c>
      <x:c r="M30" s="23" t="str">
        <x:v>Reconciled to actual prototype sequence; original task completion not inferred.</x:v>
      </x:c>
      <x:c r="N30" s="2"/>
    </x:row>
    <x:row r="31" ht="40" customHeight="1">
      <x:c r="A31" s="22" t="str">
        <x:v>S3</x:v>
      </x:c>
      <x:c r="B31" s="23" t="str">
        <x:v>Test mockup and capture evidence for check-in</x:v>
      </x:c>
      <x:c r="C31" s="24" t="d">
        <x:v>2026-10-08T00:00:00.000Z</x:v>
      </x:c>
      <x:c r="D31" s="22" t="str">
        <x:v>8</x:v>
      </x:c>
      <x:c r="E31" s="24" t="d">
        <x:v>2026-10-08T00:00:00.000Z</x:v>
      </x:c>
      <x:c r="F31" s="22" t="n">
        <x:v>1</x:v>
      </x:c>
      <x:c r="G31" s="23" t="str">
        <x:v>0</x:v>
      </x:c>
      <x:c r="H31" s="23" t="str">
        <x:v>0</x:v>
      </x:c>
      <x:c r="I31" s="23" t="str">
        <x:v>All four</x:v>
      </x:c>
      <x:c r="J31" s="22"/>
      <x:c r="K31" s="22" t="n">
        <x:v>9</x:v>
      </x:c>
      <x:c r="L31" s="22" t="str">
        <x:v>PR2, F1</x:v>
      </x:c>
      <x:c r="M31" s="23" t="str">
        <x:v>Reconciled to actual prototype sequence; original task completion not inferred.</x:v>
      </x:c>
      <x:c r="N31" s="2"/>
    </x:row>
    <x:row r="32" ht="40" customHeight="1">
      <x:c r="A32" s="22" t="str">
        <x:v>S4</x:v>
      </x:c>
      <x:c r="B32" s="23" t="str">
        <x:v>Refine seed protection using prototype findings</x:v>
      </x:c>
      <x:c r="C32" s="24" t="d">
        <x:v>2026-10-12T00:00:00.000Z</x:v>
      </x:c>
      <x:c r="D32" s="22" t="str">
        <x:v>12</x:v>
      </x:c>
      <x:c r="E32" s="24" t="d">
        <x:v>2026-10-16T00:00:00.000Z</x:v>
      </x:c>
      <x:c r="F32" s="22" t="n">
        <x:v>5</x:v>
      </x:c>
      <x:c r="G32" s="23" t="str">
        <x:v>0</x:v>
      </x:c>
      <x:c r="H32" s="23" t="str">
        <x:v>4</x:v>
      </x:c>
      <x:c r="I32" s="23" t="str">
        <x:v>All four</x:v>
      </x:c>
      <x:c r="J32" s="22"/>
      <x:c r="K32" s="22" t="n">
        <x:v>9</x:v>
      </x:c>
      <x:c r="L32" s="22" t="str">
        <x:v>PR2, F1</x:v>
      </x:c>
      <x:c r="M32" s="23" t="str">
        <x:v>Reconciled to actual prototype sequence; original task completion not inferred.</x:v>
      </x:c>
      <x:c r="N32" s="2"/>
    </x:row>
    <x:row r="33" ht="40" customHeight="1">
      <x:c r="A33" s="22" t="str">
        <x:v>W1</x:v>
      </x:c>
      <x:c r="B33" s="23" t="str">
        <x:v>Design rain coverage and drainage paths</x:v>
      </x:c>
      <x:c r="C33" s="24" t="d">
        <x:v>2026-09-29T00:00:00.000Z</x:v>
      </x:c>
      <x:c r="D33" s="22" t="str">
        <x:v>29</x:v>
      </x:c>
      <x:c r="E33" s="24" t="d">
        <x:v>2026-10-02T00:00:00.000Z</x:v>
      </x:c>
      <x:c r="F33" s="22" t="n">
        <x:v>4</x:v>
      </x:c>
      <x:c r="G33" s="23" t="str">
        <x:v>0</x:v>
      </x:c>
      <x:c r="H33" s="23" t="str">
        <x:v>3</x:v>
      </x:c>
      <x:c r="I33" s="23" t="str">
        <x:v>All four</x:v>
      </x:c>
      <x:c r="J33" s="22"/>
      <x:c r="K33" s="22" t="n">
        <x:v>9</x:v>
      </x:c>
      <x:c r="L33" s="22" t="str">
        <x:v>PR2, V1</x:v>
      </x:c>
      <x:c r="M33" s="23" t="str">
        <x:v>Reconciled to actual prototype sequence; original task completion not inferred.</x:v>
      </x:c>
      <x:c r="N33" s="2"/>
    </x:row>
    <x:row r="34" ht="40" customHeight="1">
      <x:c r="A34" s="22" t="str">
        <x:v>W2</x:v>
      </x:c>
      <x:c r="B34" s="23" t="str">
        <x:v>Build quick weather and drainage mockup</x:v>
      </x:c>
      <x:c r="C34" s="24" t="d">
        <x:v>2026-10-05T00:00:00.000Z</x:v>
      </x:c>
      <x:c r="D34" s="22" t="str">
        <x:v>5</x:v>
      </x:c>
      <x:c r="E34" s="24" t="d">
        <x:v>2026-10-07T00:00:00.000Z</x:v>
      </x:c>
      <x:c r="F34" s="22" t="n">
        <x:v>3</x:v>
      </x:c>
      <x:c r="G34" s="23" t="str">
        <x:v>0</x:v>
      </x:c>
      <x:c r="H34" s="23" t="str">
        <x:v>2</x:v>
      </x:c>
      <x:c r="I34" s="23" t="str">
        <x:v>All four</x:v>
      </x:c>
      <x:c r="J34" s="22"/>
      <x:c r="K34" s="22" t="n">
        <x:v>9</x:v>
      </x:c>
      <x:c r="L34" s="22" t="str">
        <x:v>PR2, V1</x:v>
      </x:c>
      <x:c r="M34" s="23" t="str">
        <x:v>Reconciled to actual prototype sequence; original task completion not inferred.</x:v>
      </x:c>
      <x:c r="N34" s="2"/>
    </x:row>
    <x:row r="35" ht="40" customHeight="1">
      <x:c r="A35" s="22" t="str">
        <x:v>W3</x:v>
      </x:c>
      <x:c r="B35" s="23" t="str">
        <x:v>Run water tests and record check-in evidence</x:v>
      </x:c>
      <x:c r="C35" s="24" t="d">
        <x:v>2026-10-08T00:00:00.000Z</x:v>
      </x:c>
      <x:c r="D35" s="22" t="str">
        <x:v>8</x:v>
      </x:c>
      <x:c r="E35" s="24" t="d">
        <x:v>2026-10-08T00:00:00.000Z</x:v>
      </x:c>
      <x:c r="F35" s="22" t="n">
        <x:v>1</x:v>
      </x:c>
      <x:c r="G35" s="23" t="str">
        <x:v>0</x:v>
      </x:c>
      <x:c r="H35" s="23" t="str">
        <x:v>0</x:v>
      </x:c>
      <x:c r="I35" s="23" t="str">
        <x:v>All four</x:v>
      </x:c>
      <x:c r="J35" s="22"/>
      <x:c r="K35" s="22" t="n">
        <x:v>9</x:v>
      </x:c>
      <x:c r="L35" s="22" t="str">
        <x:v>V1</x:v>
      </x:c>
      <x:c r="M35" s="23" t="str">
        <x:v>Reconciled to actual prototype sequence; original task completion not inferred.</x:v>
      </x:c>
      <x:c r="N35" s="2"/>
    </x:row>
    <x:row r="36" ht="40" customHeight="1">
      <x:c r="A36" s="22" t="str">
        <x:v>W4</x:v>
      </x:c>
      <x:c r="B36" s="23" t="str">
        <x:v>Refine rain protection and drainage</x:v>
      </x:c>
      <x:c r="C36" s="24" t="d">
        <x:v>2026-10-12T00:00:00.000Z</x:v>
      </x:c>
      <x:c r="D36" s="22" t="str">
        <x:v>12</x:v>
      </x:c>
      <x:c r="E36" s="24" t="d">
        <x:v>2026-10-16T00:00:00.000Z</x:v>
      </x:c>
      <x:c r="F36" s="22" t="n">
        <x:v>5</x:v>
      </x:c>
      <x:c r="G36" s="23" t="str">
        <x:v>0</x:v>
      </x:c>
      <x:c r="H36" s="23" t="str">
        <x:v>4</x:v>
      </x:c>
      <x:c r="I36" s="23" t="str">
        <x:v>All four</x:v>
      </x:c>
      <x:c r="J36" s="22"/>
      <x:c r="K36" s="22" t="n">
        <x:v>9</x:v>
      </x:c>
      <x:c r="L36" s="22" t="str">
        <x:v>V1</x:v>
      </x:c>
      <x:c r="M36" s="23" t="str">
        <x:v>Reconciled to actual prototype sequence; original task completion not inferred.</x:v>
      </x:c>
      <x:c r="N36" s="2"/>
    </x:row>
    <x:row r="37" ht="40" customHeight="1">
      <x:c r="A37" s="22" t="str">
        <x:v>A1</x:v>
      </x:c>
      <x:c r="B37" s="23" t="str">
        <x:v>Measure feeder, inscription and window access</x:v>
      </x:c>
      <x:c r="C37" s="24" t="d">
        <x:v>2026-09-29T00:00:00.000Z</x:v>
      </x:c>
      <x:c r="D37" s="22" t="str">
        <x:v>Task</x:v>
      </x:c>
      <x:c r="E37" s="24" t="d">
        <x:v>2026-10-02T00:00:00.000Z</x:v>
      </x:c>
      <x:c r="F37" s="22" t="n">
        <x:v>4</x:v>
      </x:c>
      <x:c r="G37" s="23" t="str">
        <x:v>R1</x:v>
      </x:c>
      <x:c r="H37" s="23" t="str">
        <x:v>FS.04–FS.06</x:v>
      </x:c>
      <x:c r="I37" s="23" t="str">
        <x:v>Ayan</x:v>
      </x:c>
      <x:c r="J37" s="22"/>
      <x:c r="K37" s="22" t="n">
        <x:v>9</x:v>
      </x:c>
      <x:c r="L37" s="22" t="str">
        <x:v>PR1</x:v>
      </x:c>
      <x:c r="M37" s="23" t="str">
        <x:v>Reconciled to actual prototype sequence; original task completion not inferred.</x:v>
      </x:c>
      <x:c r="N37" s="2"/>
    </x:row>
    <x:row r="38" ht="40" customHeight="1">
      <x:c r="A38" s="22" t="str">
        <x:v>A2</x:v>
      </x:c>
      <x:c r="B38" s="23" t="str">
        <x:v>Design removable mounting and service access</x:v>
      </x:c>
      <x:c r="C38" s="24" t="d">
        <x:v>2026-10-05T00:00:00.000Z</x:v>
      </x:c>
      <x:c r="D38" s="22" t="str">
        <x:v>5</x:v>
      </x:c>
      <x:c r="E38" s="24" t="d">
        <x:v>2026-10-09T00:00:00.000Z</x:v>
      </x:c>
      <x:c r="F38" s="22" t="n">
        <x:v>5</x:v>
      </x:c>
      <x:c r="G38" s="23" t="str">
        <x:v>0</x:v>
      </x:c>
      <x:c r="H38" s="23" t="str">
        <x:v>4</x:v>
      </x:c>
      <x:c r="I38" s="23" t="str">
        <x:v>Daniel</x:v>
      </x:c>
      <x:c r="J38" s="22"/>
      <x:c r="K38" s="22" t="n">
        <x:v>9</x:v>
      </x:c>
      <x:c r="L38" s="22" t="str">
        <x:v>PR1</x:v>
      </x:c>
      <x:c r="M38" s="23" t="str">
        <x:v>Reconciled to actual prototype sequence; original task completion not inferred.</x:v>
      </x:c>
      <x:c r="N38" s="2"/>
    </x:row>
    <x:row r="39" ht="40" customHeight="1">
      <x:c r="A39" s="22" t="str">
        <x:v>A3</x:v>
      </x:c>
      <x:c r="B39" s="23" t="str">
        <x:v>Build mount and rehearse refill/cleaning tasks</x:v>
      </x:c>
      <x:c r="C39" s="24" t="d">
        <x:v>2026-10-12T00:00:00.000Z</x:v>
      </x:c>
      <x:c r="D39" s="22" t="str">
        <x:v>12</x:v>
      </x:c>
      <x:c r="E39" s="24" t="d">
        <x:v>2026-10-14T00:00:00.000Z</x:v>
      </x:c>
      <x:c r="F39" s="22" t="n">
        <x:v>3</x:v>
      </x:c>
      <x:c r="G39" s="23" t="str">
        <x:v>0</x:v>
      </x:c>
      <x:c r="H39" s="23" t="str">
        <x:v>2</x:v>
      </x:c>
      <x:c r="I39" s="23" t="str">
        <x:v>Emmett</x:v>
      </x:c>
      <x:c r="J39" s="22"/>
      <x:c r="K39" s="22" t="n">
        <x:v>9</x:v>
      </x:c>
      <x:c r="L39" s="22" t="str">
        <x:v>PR1</x:v>
      </x:c>
      <x:c r="M39" s="23" t="str">
        <x:v>Reconciled to actual prototype sequence; original task completion not inferred.</x:v>
      </x:c>
      <x:c r="N39" s="2"/>
    </x:row>
    <x:row r="40" ht="40" customHeight="1">
      <x:c r="A40" s="22" t="str">
        <x:v>A4</x:v>
      </x:c>
      <x:c r="B40" s="23" t="str">
        <x:v>Check visibility, damage and refill clearance</x:v>
      </x:c>
      <x:c r="C40" s="24" t="d">
        <x:v>2026-10-15T00:00:00.000Z</x:v>
      </x:c>
      <x:c r="D40" s="22" t="str">
        <x:v>15</x:v>
      </x:c>
      <x:c r="E40" s="24" t="d">
        <x:v>2026-10-15T00:00:00.000Z</x:v>
      </x:c>
      <x:c r="F40" s="22" t="n">
        <x:v>1</x:v>
      </x:c>
      <x:c r="G40" s="23" t="str">
        <x:v>0</x:v>
      </x:c>
      <x:c r="H40" s="23" t="str">
        <x:v>0</x:v>
      </x:c>
      <x:c r="I40" s="23" t="str">
        <x:v>Joseph</x:v>
      </x:c>
      <x:c r="J40" s="22"/>
      <x:c r="K40" s="22" t="n">
        <x:v>9</x:v>
      </x:c>
      <x:c r="L40" s="22" t="str">
        <x:v>PR1, F1</x:v>
      </x:c>
      <x:c r="M40" s="23" t="str">
        <x:v>Reconciled to actual prototype sequence; original task completion not inferred.</x:v>
      </x:c>
      <x:c r="N40" s="2"/>
    </x:row>
    <x:row r="41" ht="40" customHeight="1">
      <x:c r="A41" s="22" t="str">
        <x:v>E1</x:v>
      </x:c>
      <x:c r="B41" s="23" t="str">
        <x:v>Define sensing, control states and power needs</x:v>
      </x:c>
      <x:c r="C41" s="24" t="d">
        <x:v>2026-09-29T00:00:00.000Z</x:v>
      </x:c>
      <x:c r="D41" s="22" t="str">
        <x:v>Conditional</x:v>
      </x:c>
      <x:c r="E41" s="24" t="d">
        <x:v>2026-10-02T00:00:00.000Z</x:v>
      </x:c>
      <x:c r="F41" s="22" t="n">
        <x:v>4</x:v>
      </x:c>
      <x:c r="G41" s="23" t="str">
        <x:v>R1</x:v>
      </x:c>
      <x:c r="H41" s="23" t="str">
        <x:v>Selected concept TS</x:v>
      </x:c>
      <x:c r="I41" s="23" t="str">
        <x:v>All four</x:v>
      </x:c>
      <x:c r="J41" s="22"/>
      <x:c r="K41" s="22" t="n">
        <x:v>10</x:v>
      </x:c>
      <x:c r="L41" s="22" t="str">
        <x:v>PR3</x:v>
      </x:c>
      <x:c r="M41" s="23" t="str">
        <x:v>Reconciled to actual prototype sequence; original task completion not inferred.</x:v>
      </x:c>
      <x:c r="N41" s="2"/>
    </x:row>
    <x:row r="42" ht="40" customHeight="1">
      <x:c r="A42" s="22" t="str">
        <x:v>E2</x:v>
      </x:c>
      <x:c r="B42" s="23" t="str">
        <x:v>Order parts and develop controller logic</x:v>
      </x:c>
      <x:c r="C42" s="24" t="d">
        <x:v>2026-10-05T00:00:00.000Z</x:v>
      </x:c>
      <x:c r="D42" s="22" t="str">
        <x:v>Conditional</x:v>
      </x:c>
      <x:c r="E42" s="24" t="d">
        <x:v>2026-10-09T00:00:00.000Z</x:v>
      </x:c>
      <x:c r="F42" s="22" t="n">
        <x:v>5</x:v>
      </x:c>
      <x:c r="G42" s="23" t="str">
        <x:v>E1</x:v>
      </x:c>
      <x:c r="H42" s="23" t="str">
        <x:v>Selected concept TS</x:v>
      </x:c>
      <x:c r="I42" s="23" t="str">
        <x:v>Daniel</x:v>
      </x:c>
      <x:c r="J42" s="22"/>
      <x:c r="K42" s="22" t="n">
        <x:v>10</x:v>
      </x:c>
      <x:c r="L42" s="22" t="str">
        <x:v>PR3</x:v>
      </x:c>
      <x:c r="M42" s="23" t="str">
        <x:v>Reconciled to actual prototype sequence; original task completion not inferred.</x:v>
      </x:c>
      <x:c r="N42" s="2"/>
    </x:row>
    <x:row r="43" ht="40" customHeight="1">
      <x:c r="A43" s="22" t="str">
        <x:v>E3</x:v>
      </x:c>
      <x:c r="B43" s="23" t="str">
        <x:v>Assemble and bench-test controls and power</x:v>
      </x:c>
      <x:c r="C43" s="24" t="d">
        <x:v>2026-10-12T00:00:00.000Z</x:v>
      </x:c>
      <x:c r="D43" s="22" t="str">
        <x:v>Conditional</x:v>
      </x:c>
      <x:c r="E43" s="24" t="d">
        <x:v>2026-10-16T00:00:00.000Z</x:v>
      </x:c>
      <x:c r="F43" s="22" t="n">
        <x:v>5</x:v>
      </x:c>
      <x:c r="G43" s="23" t="str">
        <x:v>E2</x:v>
      </x:c>
      <x:c r="H43" s="23" t="str">
        <x:v>Selected concept TS</x:v>
      </x:c>
      <x:c r="I43" s="23" t="str">
        <x:v>All four</x:v>
      </x:c>
      <x:c r="J43" s="22"/>
      <x:c r="K43" s="22" t="n">
        <x:v>10</x:v>
      </x:c>
      <x:c r="L43" s="22" t="str">
        <x:v>PR3</x:v>
      </x:c>
      <x:c r="M43" s="23" t="str">
        <x:v>Reconciled to actual prototype sequence; original task completion not inferred.</x:v>
      </x:c>
      <x:c r="N43" s="2"/>
    </x:row>
    <x:row r="44" ht="40" customHeight="1">
      <x:c r="A44" s="22" t="str">
        <x:v>E4</x:v>
      </x:c>
      <x:c r="B44" s="23" t="str">
        <x:v>Integrate enclosure, wiring and service mode</x:v>
      </x:c>
      <x:c r="C44" s="24" t="d">
        <x:v>2026-10-19T00:00:00.000Z</x:v>
      </x:c>
      <x:c r="D44" s="22" t="str">
        <x:v>Conditional</x:v>
      </x:c>
      <x:c r="E44" s="24" t="d">
        <x:v>2026-10-23T00:00:00.000Z</x:v>
      </x:c>
      <x:c r="F44" s="22" t="n">
        <x:v>5</x:v>
      </x:c>
      <x:c r="G44" s="23" t="str">
        <x:v>E3</x:v>
      </x:c>
      <x:c r="H44" s="23" t="str">
        <x:v>Selected concept TS</x:v>
      </x:c>
      <x:c r="I44" s="23" t="str">
        <x:v>All four</x:v>
      </x:c>
      <x:c r="J44" s="22"/>
      <x:c r="K44" s="22" t="n">
        <x:v>10</x:v>
      </x:c>
      <x:c r="L44" s="22" t="str">
        <x:v>PR3</x:v>
      </x:c>
      <x:c r="M44" s="23" t="str">
        <x:v>Reconciled to actual prototype sequence; original task completion not inferred.</x:v>
      </x:c>
      <x:c r="N44" s="2"/>
    </x:row>
    <x:row r="45" ht="40" customHeight="1">
      <x:c r="A45" s="22" t="str">
        <x:v>P1</x:v>
      </x:c>
      <x:c r="B45" s="23" t="str">
        <x:v>Order MVP materials and track deliveries</x:v>
      </x:c>
      <x:c r="C45" s="24" t="d">
        <x:v>2026-09-29T00:00:00.000Z</x:v>
      </x:c>
      <x:c r="D45" s="22" t="str">
        <x:v>Task</x:v>
      </x:c>
      <x:c r="E45" s="24" t="d">
        <x:v>2026-10-16T00:00:00.000Z</x:v>
      </x:c>
      <x:c r="F45" s="22" t="n">
        <x:v>18</x:v>
      </x:c>
      <x:c r="G45" s="23" t="str">
        <x:v>R1</x:v>
      </x:c>
      <x:c r="H45" s="23" t="str">
        <x:v>All subsystems</x:v>
      </x:c>
      <x:c r="I45" s="23" t="str">
        <x:v>Daniel</x:v>
      </x:c>
      <x:c r="J45" s="22"/>
      <x:c r="K45" s="22" t="n">
        <x:v>10</x:v>
      </x:c>
      <x:c r="L45" s="22" t="str">
        <x:v>P1</x:v>
      </x:c>
      <x:c r="M45" s="23" t="str">
        <x:v>Retained with current status, scope or date updates where documented.</x:v>
      </x:c>
      <x:c r="N45" s="2"/>
    </x:row>
    <x:row r="46" ht="40" customHeight="1">
      <x:c r="A46" s="22" t="str">
        <x:v>M1</x:v>
      </x:c>
      <x:c r="B46" s="23" t="str">
        <x:v>Team milestone: Prototypes 1 and 2 ready</x:v>
      </x:c>
      <x:c r="C46" s="24" t="d">
        <x:v>2026-10-08T00:00:00.000Z</x:v>
      </x:c>
      <x:c r="D46" s="22" t="str">
        <x:v>Team milestone</x:v>
      </x:c>
      <x:c r="E46" s="24" t="d">
        <x:v>2026-10-08T00:00:00.000Z</x:v>
      </x:c>
      <x:c r="F46" s="22" t="n">
        <x:v>1</x:v>
      </x:c>
      <x:c r="G46" s="23" t="str">
        <x:v>S3, W3</x:v>
      </x:c>
      <x:c r="H46" s="23" t="str">
        <x:v>All FS / TS</x:v>
      </x:c>
      <x:c r="I46" s="23" t="str">
        <x:v>All four</x:v>
      </x:c>
      <x:c r="J46" s="22"/>
      <x:c r="K46" s="22" t="n">
        <x:v>10</x:v>
      </x:c>
      <x:c r="L46" s="22" t="str">
        <x:v>M1</x:v>
      </x:c>
      <x:c r="M46" s="23" t="str">
        <x:v>Retained with current status, scope or date updates where documented.</x:v>
      </x:c>
      <x:c r="N46" s="2"/>
    </x:row>
    <x:row r="47" ht="40" customHeight="1">
      <x:c r="A47" s="22" t="str">
        <x:v>M2</x:v>
      </x:c>
      <x:c r="B47" s="23" t="str">
        <x:v>Team milestone: Prototype 3 ready</x:v>
      </x:c>
      <x:c r="C47" s="24" t="d">
        <x:v>2026-10-15T00:00:00.000Z</x:v>
      </x:c>
      <x:c r="D47" s="22" t="str">
        <x:v>Team milestone</x:v>
      </x:c>
      <x:c r="E47" s="24" t="d">
        <x:v>2026-10-15T00:00:00.000Z</x:v>
      </x:c>
      <x:c r="F47" s="22" t="n">
        <x:v>1</x:v>
      </x:c>
      <x:c r="G47" s="23" t="str">
        <x:v>A4</x:v>
      </x:c>
      <x:c r="H47" s="23" t="str">
        <x:v>All FS / TS</x:v>
      </x:c>
      <x:c r="I47" s="23" t="str">
        <x:v>All four</x:v>
      </x:c>
      <x:c r="J47" s="22"/>
      <x:c r="K47" s="22" t="n">
        <x:v>10</x:v>
      </x:c>
      <x:c r="L47" s="22" t="str">
        <x:v>M2</x:v>
      </x:c>
      <x:c r="M47" s="23" t="str">
        <x:v>Retained with current status, scope or date updates where documented.</x:v>
      </x:c>
      <x:c r="N47" s="2"/>
    </x:row>
    <x:row r="48" ht="40" customHeight="1">
      <x:c r="A48" s="22" t="str">
        <x:v>P2</x:v>
      </x:c>
      <x:c r="B48" s="23" t="str">
        <x:v>Prepare midterm slides and individual speaking parts</x:v>
      </x:c>
      <x:c r="C48" s="24" t="d">
        <x:v>2026-10-16T00:00:00.000Z</x:v>
      </x:c>
      <x:c r="D48" s="22" t="str">
        <x:v>Task</x:v>
      </x:c>
      <x:c r="E48" s="24" t="d">
        <x:v>2026-10-20T00:00:00.000Z</x:v>
      </x:c>
      <x:c r="F48" s="22" t="n">
        <x:v>5</x:v>
      </x:c>
      <x:c r="G48" s="23" t="str">
        <x:v>M2</x:v>
      </x:c>
      <x:c r="H48" s="23" t="str">
        <x:v>All FS / TS</x:v>
      </x:c>
      <x:c r="I48" s="23" t="str">
        <x:v>Ayan and Joseph</x:v>
      </x:c>
      <x:c r="J48" s="22"/>
      <x:c r="K48" s="22" t="n">
        <x:v>10</x:v>
      </x:c>
      <x:c r="L48" s="22" t="str">
        <x:v>P2</x:v>
      </x:c>
      <x:c r="M48" s="23" t="str">
        <x:v>Retained with current status, scope or date updates where documented.</x:v>
      </x:c>
      <x:c r="N48" s="2"/>
    </x:row>
    <x:row r="49" ht="40" customHeight="1">
      <x:c r="A49" s="22" t="str">
        <x:v>P3</x:v>
      </x:c>
      <x:c r="B49" s="23" t="str">
        <x:v>Package prototype evidence and rehearse midterm</x:v>
      </x:c>
      <x:c r="C49" s="24" t="d">
        <x:v>2026-10-19T00:00:00.000Z</x:v>
      </x:c>
      <x:c r="D49" s="22" t="str">
        <x:v>Task</x:v>
      </x:c>
      <x:c r="E49" s="24" t="d">
        <x:v>2026-10-20T00:00:00.000Z</x:v>
      </x:c>
      <x:c r="F49" s="22" t="n">
        <x:v>2</x:v>
      </x:c>
      <x:c r="G49" s="23" t="str">
        <x:v>S4, W4, A4</x:v>
      </x:c>
      <x:c r="H49" s="23" t="str">
        <x:v>All FS / TS</x:v>
      </x:c>
      <x:c r="I49" s="23" t="str">
        <x:v>All four</x:v>
      </x:c>
      <x:c r="J49" s="22"/>
      <x:c r="K49" s="22" t="n">
        <x:v>10</x:v>
      </x:c>
      <x:c r="L49" s="22" t="str">
        <x:v>P3</x:v>
      </x:c>
      <x:c r="M49" s="23" t="str">
        <x:v>Retained with current status, scope or date updates where documented.</x:v>
      </x:c>
      <x:c r="N49" s="2"/>
    </x:row>
    <x:row r="50" ht="40" customHeight="1">
      <x:c r="A50" s="22" t="str">
        <x:v>M3</x:v>
      </x:c>
      <x:c r="B50" s="23" t="str">
        <x:v>Team milestone: midterm package ready</x:v>
      </x:c>
      <x:c r="C50" s="24" t="d">
        <x:v>2026-10-20T00:00:00.000Z</x:v>
      </x:c>
      <x:c r="D50" s="22" t="str">
        <x:v>Team milestone</x:v>
      </x:c>
      <x:c r="E50" s="24" t="d">
        <x:v>2026-10-20T00:00:00.000Z</x:v>
      </x:c>
      <x:c r="F50" s="22" t="n">
        <x:v>1</x:v>
      </x:c>
      <x:c r="G50" s="23" t="str">
        <x:v>P2, P3</x:v>
      </x:c>
      <x:c r="H50" s="23" t="str">
        <x:v>All FS / TS</x:v>
      </x:c>
      <x:c r="I50" s="23" t="str">
        <x:v>All four</x:v>
      </x:c>
      <x:c r="J50" s="22"/>
      <x:c r="K50" s="22" t="n">
        <x:v>10</x:v>
      </x:c>
      <x:c r="L50" s="22" t="str">
        <x:v>M3</x:v>
      </x:c>
      <x:c r="M50" s="23" t="str">
        <x:v>Retained with current status, scope or date updates where documented.</x:v>
      </x:c>
      <x:c r="N50" s="2"/>
    </x:row>
    <x:row r="51" ht="40" customHeight="1">
      <x:c r="A51" s="22" t="str">
        <x:v>I1</x:v>
      </x:c>
      <x:c r="B51" s="23" t="str">
        <x:v>Assemble MVP mechanical interfaces</x:v>
      </x:c>
      <x:c r="C51" s="24" t="d">
        <x:v>2026-10-19T00:00:00.000Z</x:v>
      </x:c>
      <x:c r="D51" s="22" t="str">
        <x:v>Task</x:v>
      </x:c>
      <x:c r="E51" s="24" t="d">
        <x:v>2026-10-23T00:00:00.000Z</x:v>
      </x:c>
      <x:c r="F51" s="22" t="n">
        <x:v>5</x:v>
      </x:c>
      <x:c r="G51" s="23" t="str">
        <x:v>S4, W4, A4, P1</x:v>
      </x:c>
      <x:c r="H51" s="23" t="str">
        <x:v>All FS / TS</x:v>
      </x:c>
      <x:c r="I51" s="23" t="str">
        <x:v>All four</x:v>
      </x:c>
      <x:c r="J51" s="22"/>
      <x:c r="K51" s="22" t="n">
        <x:v>10</x:v>
      </x:c>
      <x:c r="L51" s="22" t="str">
        <x:v>I1</x:v>
      </x:c>
      <x:c r="M51" s="23" t="str">
        <x:v>Retained with current status, scope or date updates where documented.</x:v>
      </x:c>
      <x:c r="N51" s="2"/>
    </x:row>
    <x:row r="52" ht="40" customHeight="1">
      <x:c r="A52" s="22" t="str">
        <x:v>I2</x:v>
      </x:c>
      <x:c r="B52" s="23" t="str">
        <x:v>Test MVP operation and correct integration faults</x:v>
      </x:c>
      <x:c r="C52" s="24" t="d">
        <x:v>2026-10-26T00:00:00.000Z</x:v>
      </x:c>
      <x:c r="D52" s="22" t="str">
        <x:v>Task</x:v>
      </x:c>
      <x:c r="E52" s="24" t="d">
        <x:v>2026-10-27T00:00:00.000Z</x:v>
      </x:c>
      <x:c r="F52" s="22" t="n">
        <x:v>2</x:v>
      </x:c>
      <x:c r="G52" s="23" t="str">
        <x:v>I1; E4 if used</x:v>
      </x:c>
      <x:c r="H52" s="23" t="str">
        <x:v>All FS / TS</x:v>
      </x:c>
      <x:c r="I52" s="23" t="str">
        <x:v>All four</x:v>
      </x:c>
      <x:c r="J52" s="22"/>
      <x:c r="K52" s="22" t="n">
        <x:v>10</x:v>
      </x:c>
      <x:c r="L52" s="22" t="str">
        <x:v>I2</x:v>
      </x:c>
      <x:c r="M52" s="23" t="str">
        <x:v>Retained with current status, scope or date updates where documented.</x:v>
      </x:c>
      <x:c r="N52" s="2"/>
    </x:row>
    <x:row r="53" ht="40" customHeight="1">
      <x:c r="A53" s="22" t="str">
        <x:v>M4</x:v>
      </x:c>
      <x:c r="B53" s="23" t="str">
        <x:v>Team milestone: MVP ready for submission</x:v>
      </x:c>
      <x:c r="C53" s="24" t="d">
        <x:v>2026-10-27T00:00:00.000Z</x:v>
      </x:c>
      <x:c r="D53" s="22" t="str">
        <x:v>Team milestone</x:v>
      </x:c>
      <x:c r="E53" s="24" t="d">
        <x:v>2026-10-27T00:00:00.000Z</x:v>
      </x:c>
      <x:c r="F53" s="22" t="n">
        <x:v>1</x:v>
      </x:c>
      <x:c r="G53" s="23" t="str">
        <x:v>I2</x:v>
      </x:c>
      <x:c r="H53" s="23" t="str">
        <x:v>All FS / TS</x:v>
      </x:c>
      <x:c r="I53" s="23" t="str">
        <x:v>All four</x:v>
      </x:c>
      <x:c r="J53" s="22"/>
      <x:c r="K53" s="22" t="n">
        <x:v>10</x:v>
      </x:c>
      <x:c r="L53" s="22" t="str">
        <x:v>M4</x:v>
      </x:c>
      <x:c r="M53" s="23" t="str">
        <x:v>Retained with current status, scope or date updates where documented.</x:v>
      </x:c>
      <x:c r="N53" s="2"/>
    </x:row>
    <x:row r="54" ht="40" customHeight="1">
      <x:c r="A54" s="22" t="str">
        <x:v>I3</x:v>
      </x:c>
      <x:c r="B54" s="23" t="str">
        <x:v>Capture MVP evidence and prepare progress check-in</x:v>
      </x:c>
      <x:c r="C54" s="24" t="d">
        <x:v>2026-10-28T00:00:00.000Z</x:v>
      </x:c>
      <x:c r="D54" s="22" t="str">
        <x:v>Task</x:v>
      </x:c>
      <x:c r="E54" s="24" t="d">
        <x:v>2026-10-29T00:00:00.000Z</x:v>
      </x:c>
      <x:c r="F54" s="22" t="n">
        <x:v>2</x:v>
      </x:c>
      <x:c r="G54" s="23" t="str">
        <x:v>M4</x:v>
      </x:c>
      <x:c r="H54" s="23" t="str">
        <x:v>All FS / TS</x:v>
      </x:c>
      <x:c r="I54" s="23" t="str">
        <x:v>All four</x:v>
      </x:c>
      <x:c r="J54" s="22"/>
      <x:c r="K54" s="22" t="n">
        <x:v>10</x:v>
      </x:c>
      <x:c r="L54" s="22" t="str">
        <x:v>I3</x:v>
      </x:c>
      <x:c r="M54" s="23" t="str">
        <x:v>Retained with current status, scope or date updates where documented.</x:v>
      </x:c>
      <x:c r="N54" s="2"/>
    </x:row>
    <x:row r="55" ht="40" customHeight="1">
      <x:c r="A55" s="22" t="str">
        <x:v>V1</x:v>
      </x:c>
      <x:c r="B55" s="23" t="str">
        <x:v>Verify seed loss, access and rain performance</x:v>
      </x:c>
      <x:c r="C55" s="24" t="d">
        <x:v>2026-10-29T00:00:00.000Z</x:v>
      </x:c>
      <x:c r="D55" s="22" t="str">
        <x:v>Task</x:v>
      </x:c>
      <x:c r="E55" s="24" t="d">
        <x:v>2026-11-05T00:00:00.000Z</x:v>
      </x:c>
      <x:c r="F55" s="22" t="n">
        <x:v>8</x:v>
      </x:c>
      <x:c r="G55" s="23" t="str">
        <x:v>M4, R5</x:v>
      </x:c>
      <x:c r="H55" s="23" t="str">
        <x:v>FS.01–FS.03 / linked TS</x:v>
      </x:c>
      <x:c r="I55" s="23" t="str">
        <x:v>All four</x:v>
      </x:c>
      <x:c r="J55" s="22"/>
      <x:c r="K55" s="22" t="n">
        <x:v>10</x:v>
      </x:c>
      <x:c r="L55" s="22" t="str">
        <x:v>V1, F1</x:v>
      </x:c>
      <x:c r="M55" s="23" t="str">
        <x:v>Retained with current status, scope or date updates where documented.</x:v>
      </x:c>
      <x:c r="N55" s="2"/>
    </x:row>
    <x:row r="56" ht="40" customHeight="1">
      <x:c r="A56" s="22" t="str">
        <x:v>V2</x:v>
      </x:c>
      <x:c r="B56" s="23" t="str">
        <x:v>Validate refill, inscription and upkeep with stakeholder</x:v>
      </x:c>
      <x:c r="C56" s="24" t="d">
        <x:v>2026-10-29T00:00:00.000Z</x:v>
      </x:c>
      <x:c r="D56" s="22" t="str">
        <x:v>Task</x:v>
      </x:c>
      <x:c r="E56" s="24" t="d">
        <x:v>2026-11-05T00:00:00.000Z</x:v>
      </x:c>
      <x:c r="F56" s="22" t="n">
        <x:v>8</x:v>
      </x:c>
      <x:c r="G56" s="23" t="str">
        <x:v>M4, R5</x:v>
      </x:c>
      <x:c r="H56" s="23" t="str">
        <x:v>FS.04–FS.06 / linked TS</x:v>
      </x:c>
      <x:c r="I56" s="23" t="str">
        <x:v>Joseph</x:v>
      </x:c>
      <x:c r="J56" s="22"/>
      <x:c r="K56" s="22" t="n">
        <x:v>10</x:v>
      </x:c>
      <x:c r="L56" s="22" t="str">
        <x:v>V2</x:v>
      </x:c>
      <x:c r="M56" s="23" t="str">
        <x:v>Retained with current status, scope or date updates where documented.</x:v>
      </x:c>
      <x:c r="N56" s="2"/>
    </x:row>
    <x:row r="57" ht="40" customHeight="1">
      <x:c r="A57" s="22" t="str">
        <x:v>V3</x:v>
      </x:c>
      <x:c r="B57" s="23" t="str">
        <x:v>Arrange stakeholder testing appointment</x:v>
      </x:c>
      <x:c r="C57" s="24" t="d">
        <x:v>2026-10-19T00:00:00.000Z</x:v>
      </x:c>
      <x:c r="D57" s="22" t="str">
        <x:v>Task</x:v>
      </x:c>
      <x:c r="E57" s="24" t="d">
        <x:v>2026-10-23T00:00:00.000Z</x:v>
      </x:c>
      <x:c r="F57" s="22" t="n">
        <x:v>5</x:v>
      </x:c>
      <x:c r="G57" s="23" t="str">
        <x:v>R5</x:v>
      </x:c>
      <x:c r="H57" s="23" t="str">
        <x:v>FS.04–FS.06</x:v>
      </x:c>
      <x:c r="I57" s="23" t="str">
        <x:v>Joseph</x:v>
      </x:c>
      <x:c r="J57" s="22"/>
      <x:c r="K57" s="22" t="n">
        <x:v>10</x:v>
      </x:c>
      <x:c r="L57" s="22" t="str">
        <x:v>V3</x:v>
      </x:c>
      <x:c r="M57" s="23" t="str">
        <x:v>Retained with current status, scope or date updates where documented.</x:v>
      </x:c>
      <x:c r="N57" s="2"/>
    </x:row>
    <x:row r="58" ht="40" customHeight="1">
      <x:c r="A58" s="22" t="str">
        <x:v>V4</x:v>
      </x:c>
      <x:c r="B58" s="23" t="str">
        <x:v>Complete test evidence and validation checkpoint</x:v>
      </x:c>
      <x:c r="C58" s="24" t="d">
        <x:v>2026-11-06T00:00:00.000Z</x:v>
      </x:c>
      <x:c r="D58" s="22" t="str">
        <x:v>Task</x:v>
      </x:c>
      <x:c r="E58" s="24" t="d">
        <x:v>2026-11-09T00:00:00.000Z</x:v>
      </x:c>
      <x:c r="F58" s="22" t="n">
        <x:v>4</x:v>
      </x:c>
      <x:c r="G58" s="23" t="str">
        <x:v>V1, V2</x:v>
      </x:c>
      <x:c r="H58" s="23" t="str">
        <x:v>All linked TS</x:v>
      </x:c>
      <x:c r="I58" s="23" t="str">
        <x:v>Ayan</x:v>
      </x:c>
      <x:c r="J58" s="22"/>
      <x:c r="K58" s="22" t="n">
        <x:v>10</x:v>
      </x:c>
      <x:c r="L58" s="22" t="str">
        <x:v>V4</x:v>
      </x:c>
      <x:c r="M58" s="23" t="str">
        <x:v>Retained with current status, scope or date updates where documented.</x:v>
      </x:c>
      <x:c r="N58" s="2"/>
    </x:row>
    <x:row r="59" ht="40" customHeight="1">
      <x:c r="A59" s="22" t="str">
        <x:v>M5</x:v>
      </x:c>
      <x:c r="B59" s="23" t="str">
        <x:v>Team milestone: first test dataset complete</x:v>
      </x:c>
      <x:c r="C59" s="24" t="d">
        <x:v>2026-11-05T00:00:00.000Z</x:v>
      </x:c>
      <x:c r="D59" s="22" t="str">
        <x:v>Team milestone</x:v>
      </x:c>
      <x:c r="E59" s="24" t="d">
        <x:v>2026-11-05T00:00:00.000Z</x:v>
      </x:c>
      <x:c r="F59" s="22" t="n">
        <x:v>1</x:v>
      </x:c>
      <x:c r="G59" s="23" t="str">
        <x:v>V1, V2</x:v>
      </x:c>
      <x:c r="H59" s="23" t="str">
        <x:v>All FS / TS</x:v>
      </x:c>
      <x:c r="I59" s="23" t="str">
        <x:v>All four</x:v>
      </x:c>
      <x:c r="J59" s="22"/>
      <x:c r="K59" s="22" t="n">
        <x:v>10</x:v>
      </x:c>
      <x:c r="L59" s="22" t="str">
        <x:v>M5</x:v>
      </x:c>
      <x:c r="M59" s="23" t="str">
        <x:v>Retained with current status, scope or date updates where documented.</x:v>
      </x:c>
      <x:c r="N59" s="2"/>
    </x:row>
    <x:row r="60" ht="40" customHeight="1">
      <x:c r="A60" s="22" t="str">
        <x:v>V5</x:v>
      </x:c>
      <x:c r="B60" s="23" t="str">
        <x:v>Analyze results against targets and document failures</x:v>
      </x:c>
      <x:c r="C60" s="24" t="d">
        <x:v>2026-11-10T00:00:00.000Z</x:v>
      </x:c>
      <x:c r="D60" s="22" t="str">
        <x:v>Task</x:v>
      </x:c>
      <x:c r="E60" s="24" t="d">
        <x:v>2026-11-12T00:00:00.000Z</x:v>
      </x:c>
      <x:c r="F60" s="22" t="n">
        <x:v>3</x:v>
      </x:c>
      <x:c r="G60" s="23" t="str">
        <x:v>V4</x:v>
      </x:c>
      <x:c r="H60" s="23" t="str">
        <x:v>All linked TS</x:v>
      </x:c>
      <x:c r="I60" s="23" t="str">
        <x:v>Joseph</x:v>
      </x:c>
      <x:c r="J60" s="22"/>
      <x:c r="K60" s="22" t="n">
        <x:v>11</x:v>
      </x:c>
      <x:c r="L60" s="22" t="str">
        <x:v>V5</x:v>
      </x:c>
      <x:c r="M60" s="23" t="str">
        <x:v>Retained with current status, scope or date updates where documented.</x:v>
      </x:c>
      <x:c r="N60" s="2"/>
    </x:row>
    <x:row r="61" ht="40" customHeight="1">
      <x:c r="A61" s="22" t="str">
        <x:v>V6</x:v>
      </x:c>
      <x:c r="B61" s="23" t="str">
        <x:v>Finalize data analysis and improvement priorities</x:v>
      </x:c>
      <x:c r="C61" s="24" t="d">
        <x:v>2026-11-13T00:00:00.000Z</x:v>
      </x:c>
      <x:c r="D61" s="22" t="str">
        <x:v>Task</x:v>
      </x:c>
      <x:c r="E61" s="24" t="d">
        <x:v>2026-11-16T00:00:00.000Z</x:v>
      </x:c>
      <x:c r="F61" s="22" t="n">
        <x:v>4</x:v>
      </x:c>
      <x:c r="G61" s="23" t="str">
        <x:v>V5</x:v>
      </x:c>
      <x:c r="H61" s="23" t="str">
        <x:v>All FS / TS</x:v>
      </x:c>
      <x:c r="I61" s="23" t="str">
        <x:v>Ayan</x:v>
      </x:c>
      <x:c r="J61" s="22"/>
      <x:c r="K61" s="22" t="n">
        <x:v>11</x:v>
      </x:c>
      <x:c r="L61" s="22" t="str">
        <x:v>V6</x:v>
      </x:c>
      <x:c r="M61" s="23" t="str">
        <x:v>Retained with current status, scope or date updates where documented.</x:v>
      </x:c>
      <x:c r="N61" s="2"/>
    </x:row>
    <x:row r="62" ht="40" customHeight="1">
      <x:c r="A62" s="22" t="str">
        <x:v>V7</x:v>
      </x:c>
      <x:c r="B62" s="23" t="str">
        <x:v>Implement priority fixes and repeat affected tests</x:v>
      </x:c>
      <x:c r="C62" s="24" t="d">
        <x:v>2026-11-17T00:00:00.000Z</x:v>
      </x:c>
      <x:c r="D62" s="22" t="str">
        <x:v>Task</x:v>
      </x:c>
      <x:c r="E62" s="24" t="d">
        <x:v>2026-11-23T00:00:00.000Z</x:v>
      </x:c>
      <x:c r="F62" s="22" t="n">
        <x:v>7</x:v>
      </x:c>
      <x:c r="G62" s="23" t="str">
        <x:v>V6</x:v>
      </x:c>
      <x:c r="H62" s="23" t="str">
        <x:v>Failed TS criteria</x:v>
      </x:c>
      <x:c r="I62" s="23" t="str">
        <x:v>All four</x:v>
      </x:c>
      <x:c r="J62" s="22"/>
      <x:c r="K62" s="22" t="n">
        <x:v>11</x:v>
      </x:c>
      <x:c r="L62" s="22" t="str">
        <x:v>V7</x:v>
      </x:c>
      <x:c r="M62" s="23" t="str">
        <x:v>Retained with current status, scope or date updates where documented.</x:v>
      </x:c>
      <x:c r="N62" s="2"/>
    </x:row>
    <x:row r="63" ht="40" customHeight="1">
      <x:c r="A63" s="22" t="str">
        <x:v>M6</x:v>
      </x:c>
      <x:c r="B63" s="23" t="str">
        <x:v>Team milestone: design and test evidence frozen</x:v>
      </x:c>
      <x:c r="C63" s="24" t="d">
        <x:v>2026-11-23T00:00:00.000Z</x:v>
      </x:c>
      <x:c r="D63" s="22" t="str">
        <x:v>Team milestone</x:v>
      </x:c>
      <x:c r="E63" s="24" t="d">
        <x:v>2026-11-23T00:00:00.000Z</x:v>
      </x:c>
      <x:c r="F63" s="22" t="n">
        <x:v>1</x:v>
      </x:c>
      <x:c r="G63" s="23" t="str">
        <x:v>V7</x:v>
      </x:c>
      <x:c r="H63" s="23" t="str">
        <x:v>All FS / TS</x:v>
      </x:c>
      <x:c r="I63" s="23" t="str">
        <x:v>All four</x:v>
      </x:c>
      <x:c r="J63" s="22"/>
      <x:c r="K63" s="22" t="n">
        <x:v>11</x:v>
      </x:c>
      <x:c r="L63" s="22" t="str">
        <x:v>M6</x:v>
      </x:c>
      <x:c r="M63" s="23" t="str">
        <x:v>Retained with current status, scope or date updates where documented.</x:v>
      </x:c>
      <x:c r="N63" s="2"/>
    </x:row>
    <x:row r="64" ht="40" customHeight="1">
      <x:c r="A64" s="22" t="str">
        <x:v>D1</x:v>
      </x:c>
      <x:c r="B64" s="23" t="str">
        <x:v>Prepare stakeholder MVP presentation materials</x:v>
      </x:c>
      <x:c r="C64" s="24" t="d">
        <x:v>2026-11-17T00:00:00.000Z</x:v>
      </x:c>
      <x:c r="D64" s="22" t="str">
        <x:v>Task</x:v>
      </x:c>
      <x:c r="E64" s="24" t="d">
        <x:v>2026-11-19T00:00:00.000Z</x:v>
      </x:c>
      <x:c r="F64" s="22" t="n">
        <x:v>3</x:v>
      </x:c>
      <x:c r="G64" s="23" t="str">
        <x:v>V6</x:v>
      </x:c>
      <x:c r="H64" s="23" t="str">
        <x:v>All FS / TS</x:v>
      </x:c>
      <x:c r="I64" s="23" t="str">
        <x:v>Joseph</x:v>
      </x:c>
      <x:c r="J64" s="22"/>
      <x:c r="K64" s="22" t="n">
        <x:v>11</x:v>
      </x:c>
      <x:c r="L64" s="22" t="str">
        <x:v>D1</x:v>
      </x:c>
      <x:c r="M64" s="23" t="str">
        <x:v>Retained with current status, scope or date updates where documented.</x:v>
      </x:c>
      <x:c r="N64" s="2"/>
    </x:row>
    <x:row r="65" ht="40" customHeight="1">
      <x:c r="A65" s="22" t="str">
        <x:v>D2</x:v>
      </x:c>
      <x:c r="B65" s="23" t="str">
        <x:v>Draft group report and requirement traceability</x:v>
      </x:c>
      <x:c r="C65" s="24" t="d">
        <x:v>2026-11-16T00:00:00.000Z</x:v>
      </x:c>
      <x:c r="D65" s="22" t="str">
        <x:v>Task</x:v>
      </x:c>
      <x:c r="E65" s="24" t="d">
        <x:v>2026-11-25T00:00:00.000Z</x:v>
      </x:c>
      <x:c r="F65" s="22" t="n">
        <x:v>10</x:v>
      </x:c>
      <x:c r="G65" s="23" t="str">
        <x:v>V5</x:v>
      </x:c>
      <x:c r="H65" s="23" t="str">
        <x:v>All FS / TS</x:v>
      </x:c>
      <x:c r="I65" s="23" t="str">
        <x:v>Emmett</x:v>
      </x:c>
      <x:c r="J65" s="22"/>
      <x:c r="K65" s="22" t="n">
        <x:v>11</x:v>
      </x:c>
      <x:c r="L65" s="22" t="str">
        <x:v>D2</x:v>
      </x:c>
      <x:c r="M65" s="23" t="str">
        <x:v>Retained with current status, scope or date updates where documented.</x:v>
      </x:c>
      <x:c r="N65" s="2"/>
    </x:row>
    <x:row r="66" ht="40" customHeight="1">
      <x:c r="A66" s="22" t="str">
        <x:v>D3</x:v>
      </x:c>
      <x:c r="B66" s="23" t="str">
        <x:v>Draft individual reports and contributions</x:v>
      </x:c>
      <x:c r="C66" s="24" t="d">
        <x:v>2026-11-23T00:00:00.000Z</x:v>
      </x:c>
      <x:c r="D66" s="22" t="str">
        <x:v>Task</x:v>
      </x:c>
      <x:c r="E66" s="24" t="d">
        <x:v>2026-11-25T00:00:00.000Z</x:v>
      </x:c>
      <x:c r="F66" s="22" t="n">
        <x:v>3</x:v>
      </x:c>
      <x:c r="G66" s="23" t="str">
        <x:v>V6</x:v>
      </x:c>
      <x:c r="H66" s="23" t="str">
        <x:v>Individual deliverable</x:v>
      </x:c>
      <x:c r="I66" s="23" t="str">
        <x:v>Emmett</x:v>
      </x:c>
      <x:c r="J66" s="22"/>
      <x:c r="K66" s="22" t="n">
        <x:v>11</x:v>
      </x:c>
      <x:c r="L66" s="22" t="str">
        <x:v>D3</x:v>
      </x:c>
      <x:c r="M66" s="23" t="str">
        <x:v>Retained with current status, scope or date updates where documented.</x:v>
      </x:c>
      <x:c r="N66" s="2"/>
    </x:row>
    <x:row r="67" ht="40" customHeight="1">
      <x:c r="A67" s="22" t="str">
        <x:v>D4</x:v>
      </x:c>
      <x:c r="B67" s="23" t="str">
        <x:v>Review group/individual reports and final evidence</x:v>
      </x:c>
      <x:c r="C67" s="24" t="d">
        <x:v>2026-11-30T00:00:00.000Z</x:v>
      </x:c>
      <x:c r="D67" s="22" t="str">
        <x:v>Task</x:v>
      </x:c>
      <x:c r="E67" s="24" t="d">
        <x:v>2026-12-02T00:00:00.000Z</x:v>
      </x:c>
      <x:c r="F67" s="22" t="n">
        <x:v>3</x:v>
      </x:c>
      <x:c r="G67" s="23" t="str">
        <x:v>M6, D2, D3</x:v>
      </x:c>
      <x:c r="H67" s="23" t="str">
        <x:v>All FS / TS</x:v>
      </x:c>
      <x:c r="I67" s="23" t="str">
        <x:v>All four</x:v>
      </x:c>
      <x:c r="J67" s="22"/>
      <x:c r="K67" s="22" t="n">
        <x:v>11</x:v>
      </x:c>
      <x:c r="L67" s="22" t="str">
        <x:v>D4</x:v>
      </x:c>
      <x:c r="M67" s="23" t="str">
        <x:v>Retained with current status, scope or date updates where documented.</x:v>
      </x:c>
      <x:c r="N67" s="2"/>
    </x:row>
    <x:row r="68" ht="40" customHeight="1">
      <x:c r="A68" s="22" t="str">
        <x:v>D5</x:v>
      </x:c>
      <x:c r="B68" s="23" t="str">
        <x:v>Finish reports, CATME and Week 14 log</x:v>
      </x:c>
      <x:c r="C68" s="24" t="d">
        <x:v>2026-12-03T00:00:00.000Z</x:v>
      </x:c>
      <x:c r="D68" s="22" t="str">
        <x:v>Task</x:v>
      </x:c>
      <x:c r="E68" s="24" t="d">
        <x:v>2026-12-04T00:00:00.000Z</x:v>
      </x:c>
      <x:c r="F68" s="22" t="n">
        <x:v>2</x:v>
      </x:c>
      <x:c r="G68" s="23" t="str">
        <x:v>D4</x:v>
      </x:c>
      <x:c r="H68" s="23" t="str">
        <x:v>Course deliverables</x:v>
      </x:c>
      <x:c r="I68" s="23" t="str">
        <x:v>All four</x:v>
      </x:c>
      <x:c r="J68" s="22"/>
      <x:c r="K68" s="22" t="n">
        <x:v>11</x:v>
      </x:c>
      <x:c r="L68" s="22" t="str">
        <x:v>D5</x:v>
      </x:c>
      <x:c r="M68" s="23" t="str">
        <x:v>Retained with current status, scope or date updates where documented.</x:v>
      </x:c>
      <x:c r="N68" s="2"/>
    </x:row>
    <x:row r="69" ht="40" customHeight="1">
      <x:c r="A69" s="22" t="str">
        <x:v>M7</x:v>
      </x:c>
      <x:c r="B69" s="23" t="str">
        <x:v>Team milestone: reports ready to submit</x:v>
      </x:c>
      <x:c r="C69" s="24" t="d">
        <x:v>2026-12-03T00:00:00.000Z</x:v>
      </x:c>
      <x:c r="D69" s="22" t="str">
        <x:v>Team milestone</x:v>
      </x:c>
      <x:c r="E69" s="24" t="d">
        <x:v>2026-12-03T00:00:00.000Z</x:v>
      </x:c>
      <x:c r="F69" s="22" t="n">
        <x:v>1</x:v>
      </x:c>
      <x:c r="G69" s="23" t="str">
        <x:v>D4</x:v>
      </x:c>
      <x:c r="H69" s="23" t="str">
        <x:v>All FS / TS</x:v>
      </x:c>
      <x:c r="I69" s="23" t="str">
        <x:v>All four</x:v>
      </x:c>
      <x:c r="J69" s="22"/>
      <x:c r="K69" s="22" t="n">
        <x:v>11</x:v>
      </x:c>
      <x:c r="L69" s="22" t="str">
        <x:v>M7</x:v>
      </x:c>
      <x:c r="M69" s="23" t="str">
        <x:v>Retained with current status, scope or date updates where documented.</x:v>
      </x:c>
      <x:c r="N69" s="2"/>
    </x:row>
    <x:row r="70" ht="40" customHeight="1">
      <x:c r="A70" s="22" t="str">
        <x:v>D6</x:v>
      </x:c>
      <x:c r="B70" s="23" t="str">
        <x:v>Build final slides and demonstration sequence</x:v>
      </x:c>
      <x:c r="C70" s="24" t="d">
        <x:v>2026-11-30T00:00:00.000Z</x:v>
      </x:c>
      <x:c r="D70" s="22" t="str">
        <x:v>Task</x:v>
      </x:c>
      <x:c r="E70" s="24" t="d">
        <x:v>2026-12-04T00:00:00.000Z</x:v>
      </x:c>
      <x:c r="F70" s="22" t="n">
        <x:v>5</x:v>
      </x:c>
      <x:c r="G70" s="23" t="str">
        <x:v>M6</x:v>
      </x:c>
      <x:c r="H70" s="23" t="str">
        <x:v>All FS / TS</x:v>
      </x:c>
      <x:c r="I70" s="23" t="str">
        <x:v>Joseph</x:v>
      </x:c>
      <x:c r="J70" s="22"/>
      <x:c r="K70" s="22" t="n">
        <x:v>11</x:v>
      </x:c>
      <x:c r="L70" s="22" t="str">
        <x:v>D6</x:v>
      </x:c>
      <x:c r="M70" s="23" t="str">
        <x:v>Retained with current status, scope or date updates where documented.</x:v>
      </x:c>
      <x:c r="N70" s="2"/>
    </x:row>
    <x:row r="71" ht="40" customHeight="1">
      <x:c r="A71" s="22" t="str">
        <x:v>D7</x:v>
      </x:c>
      <x:c r="B71" s="23" t="str">
        <x:v>Rehearse group and individual presentation parts</x:v>
      </x:c>
      <x:c r="C71" s="24" t="d">
        <x:v>2026-12-07T00:00:00.000Z</x:v>
      </x:c>
      <x:c r="D71" s="22" t="str">
        <x:v>Task</x:v>
      </x:c>
      <x:c r="E71" s="24" t="d">
        <x:v>2026-12-08T00:00:00.000Z</x:v>
      </x:c>
      <x:c r="F71" s="22" t="n">
        <x:v>2</x:v>
      </x:c>
      <x:c r="G71" s="23" t="str">
        <x:v>D6</x:v>
      </x:c>
      <x:c r="H71" s="23" t="str">
        <x:v>Course deliverables</x:v>
      </x:c>
      <x:c r="I71" s="23" t="str">
        <x:v>All four</x:v>
      </x:c>
      <x:c r="J71" s="22"/>
      <x:c r="K71" s="22" t="n">
        <x:v>11</x:v>
      </x:c>
      <x:c r="L71" s="22" t="str">
        <x:v>D7</x:v>
      </x:c>
      <x:c r="M71" s="23" t="str">
        <x:v>Retained with current status, scope or date updates where documented.</x:v>
      </x:c>
      <x:c r="N71" s="2"/>
    </x:row>
    <x:row r="72" ht="40" customHeight="1">
      <x:c r="A72" s="22" t="str">
        <x:v>M8</x:v>
      </x:c>
      <x:c r="B72" s="23" t="str">
        <x:v>Team milestone: final presentation ready</x:v>
      </x:c>
      <x:c r="C72" s="24" t="d">
        <x:v>2026-12-08T00:00:00.000Z</x:v>
      </x:c>
      <x:c r="D72" s="22" t="str">
        <x:v>Team milestone</x:v>
      </x:c>
      <x:c r="E72" s="24" t="d">
        <x:v>2026-12-08T00:00:00.000Z</x:v>
      </x:c>
      <x:c r="F72" s="22" t="n">
        <x:v>1</x:v>
      </x:c>
      <x:c r="G72" s="23" t="str">
        <x:v>D7</x:v>
      </x:c>
      <x:c r="H72" s="23" t="str">
        <x:v>All FS / TS</x:v>
      </x:c>
      <x:c r="I72" s="23" t="str">
        <x:v>All four</x:v>
      </x:c>
      <x:c r="J72" s="22"/>
      <x:c r="K72" s="22" t="n">
        <x:v>11</x:v>
      </x:c>
      <x:c r="L72" s="22" t="str">
        <x:v>M8</x:v>
      </x:c>
      <x:c r="M72" s="23" t="str">
        <x:v>Retained with current status, scope or date updates where documented.</x:v>
      </x:c>
      <x:c r="N72" s="2"/>
    </x:row>
    <x:row r="73" ht="40" customHeight="1">
      <x:c r="A73" s="22" t="str">
        <x:v>D8</x:v>
      </x:c>
      <x:c r="B73" s="23" t="str">
        <x:v>Final presentation delivery / submission</x:v>
      </x:c>
      <x:c r="C73" s="24" t="d">
        <x:v>2026-12-09T00:00:00.000Z</x:v>
      </x:c>
      <x:c r="D73" s="22" t="str">
        <x:v>Task</x:v>
      </x:c>
      <x:c r="E73" s="24" t="d">
        <x:v>2026-12-09T00:00:00.000Z</x:v>
      </x:c>
      <x:c r="F73" s="22" t="n">
        <x:v>1</x:v>
      </x:c>
      <x:c r="G73" s="23" t="str">
        <x:v>M8</x:v>
      </x:c>
      <x:c r="H73" s="23" t="str">
        <x:v>Course deliverables</x:v>
      </x:c>
      <x:c r="I73" s="23" t="str">
        <x:v>Joseph</x:v>
      </x:c>
      <x:c r="J73" s="22"/>
      <x:c r="K73" s="22" t="n">
        <x:v>11</x:v>
      </x:c>
      <x:c r="L73" s="22" t="str">
        <x:v>D8</x:v>
      </x:c>
      <x:c r="M73" s="23" t="str">
        <x:v>Retained with current status, scope or date updates where documented.</x:v>
      </x:c>
      <x:c r="N73" s="2"/>
    </x:row>
    <x:row r="74" ht="40" customHeight="1">
      <x:c r="A74" s="22" t="str">
        <x:v>L6</x:v>
      </x:c>
      <x:c r="B74" s="23" t="str">
        <x:v>Maintain and submit Week 6 project log</x:v>
      </x:c>
      <x:c r="C74" s="24" t="d">
        <x:v>2026-09-28T00:00:00.000Z</x:v>
      </x:c>
      <x:c r="D74" s="22" t="str">
        <x:v>Task</x:v>
      </x:c>
      <x:c r="E74" s="24" t="d">
        <x:v>2026-10-02T00:00:00.000Z</x:v>
      </x:c>
      <x:c r="F74" s="22" t="n">
        <x:v>5</x:v>
      </x:c>
      <x:c r="G74" s="23" t="str"/>
      <x:c r="H74" s="23" t="str">
        <x:v>Course log</x:v>
      </x:c>
      <x:c r="I74" s="23" t="str">
        <x:v>All four</x:v>
      </x:c>
      <x:c r="J74" s="22"/>
      <x:c r="K74" s="22" t="n">
        <x:v>11</x:v>
      </x:c>
      <x:c r="L74" s="22" t="str">
        <x:v>L6</x:v>
      </x:c>
      <x:c r="M74" s="23" t="str">
        <x:v>Retained with current status, scope or date updates where documented.</x:v>
      </x:c>
      <x:c r="N74" s="2"/>
    </x:row>
    <x:row r="75" ht="40" customHeight="1">
      <x:c r="A75" s="22" t="str">
        <x:v>L7</x:v>
      </x:c>
      <x:c r="B75" s="23" t="str">
        <x:v>Maintain and submit Week 7 project log</x:v>
      </x:c>
      <x:c r="C75" s="24" t="d">
        <x:v>2026-10-05T00:00:00.000Z</x:v>
      </x:c>
      <x:c r="D75" s="22" t="str">
        <x:v>Task</x:v>
      </x:c>
      <x:c r="E75" s="24" t="d">
        <x:v>2026-10-09T00:00:00.000Z</x:v>
      </x:c>
      <x:c r="F75" s="22" t="n">
        <x:v>5</x:v>
      </x:c>
      <x:c r="G75" s="23" t="str"/>
      <x:c r="H75" s="23" t="str">
        <x:v>Course log</x:v>
      </x:c>
      <x:c r="I75" s="23" t="str">
        <x:v>All four</x:v>
      </x:c>
      <x:c r="J75" s="22"/>
      <x:c r="K75" s="22" t="n">
        <x:v>11</x:v>
      </x:c>
      <x:c r="L75" s="22" t="str">
        <x:v>L7</x:v>
      </x:c>
      <x:c r="M75" s="23" t="str">
        <x:v>Retained with current status, scope or date updates where documented.</x:v>
      </x:c>
      <x:c r="N75" s="2"/>
    </x:row>
    <x:row r="76" ht="40" customHeight="1">
      <x:c r="A76" s="22" t="str">
        <x:v>L8</x:v>
      </x:c>
      <x:c r="B76" s="23" t="str">
        <x:v>Maintain and submit Week 8 project log</x:v>
      </x:c>
      <x:c r="C76" s="24" t="d">
        <x:v>2026-10-12T00:00:00.000Z</x:v>
      </x:c>
      <x:c r="D76" s="22" t="str">
        <x:v>Task</x:v>
      </x:c>
      <x:c r="E76" s="24" t="d">
        <x:v>2026-10-16T00:00:00.000Z</x:v>
      </x:c>
      <x:c r="F76" s="22" t="n">
        <x:v>5</x:v>
      </x:c>
      <x:c r="G76" s="23" t="str"/>
      <x:c r="H76" s="23" t="str">
        <x:v>Course log</x:v>
      </x:c>
      <x:c r="I76" s="23" t="str">
        <x:v>All four</x:v>
      </x:c>
      <x:c r="J76" s="22"/>
      <x:c r="K76" s="22" t="n">
        <x:v>11</x:v>
      </x:c>
      <x:c r="L76" s="22" t="str">
        <x:v>L8</x:v>
      </x:c>
      <x:c r="M76" s="23" t="str">
        <x:v>Retained with current status, scope or date updates where documented.</x:v>
      </x:c>
      <x:c r="N76" s="2"/>
    </x:row>
    <x:row r="77" ht="40" customHeight="1">
      <x:c r="A77" s="22" t="str">
        <x:v>L9</x:v>
      </x:c>
      <x:c r="B77" s="23" t="str">
        <x:v>Maintain and submit Week 9 project log</x:v>
      </x:c>
      <x:c r="C77" s="24" t="d">
        <x:v>2026-10-19T00:00:00.000Z</x:v>
      </x:c>
      <x:c r="D77" s="22" t="str">
        <x:v>Task</x:v>
      </x:c>
      <x:c r="E77" s="24" t="d">
        <x:v>2026-10-23T00:00:00.000Z</x:v>
      </x:c>
      <x:c r="F77" s="22" t="n">
        <x:v>5</x:v>
      </x:c>
      <x:c r="G77" s="23" t="str"/>
      <x:c r="H77" s="23" t="str">
        <x:v>Course log</x:v>
      </x:c>
      <x:c r="I77" s="23" t="str">
        <x:v>All four</x:v>
      </x:c>
      <x:c r="J77" s="22"/>
      <x:c r="K77" s="22" t="n">
        <x:v>11</x:v>
      </x:c>
      <x:c r="L77" s="22" t="str">
        <x:v>L9</x:v>
      </x:c>
      <x:c r="M77" s="23" t="str">
        <x:v>Retained with current status, scope or date updates where documented.</x:v>
      </x:c>
      <x:c r="N77" s="2"/>
    </x:row>
    <x:row r="78" ht="40" customHeight="1">
      <x:c r="A78" s="22" t="str">
        <x:v>L10</x:v>
      </x:c>
      <x:c r="B78" s="23" t="str">
        <x:v>Maintain and submit Week 10 project log</x:v>
      </x:c>
      <x:c r="C78" s="24" t="d">
        <x:v>2026-10-26T00:00:00.000Z</x:v>
      </x:c>
      <x:c r="D78" s="22" t="str">
        <x:v>Task</x:v>
      </x:c>
      <x:c r="E78" s="24" t="d">
        <x:v>2026-10-30T00:00:00.000Z</x:v>
      </x:c>
      <x:c r="F78" s="22" t="n">
        <x:v>5</x:v>
      </x:c>
      <x:c r="G78" s="23" t="str"/>
      <x:c r="H78" s="23" t="str">
        <x:v>Course log</x:v>
      </x:c>
      <x:c r="I78" s="23" t="str">
        <x:v>All four</x:v>
      </x:c>
      <x:c r="J78" s="22"/>
      <x:c r="K78" s="22" t="n">
        <x:v>11</x:v>
      </x:c>
      <x:c r="L78" s="22" t="str">
        <x:v>L10</x:v>
      </x:c>
      <x:c r="M78" s="23" t="str">
        <x:v>Retained with current status, scope or date updates where documented.</x:v>
      </x:c>
      <x:c r="N78" s="2"/>
    </x:row>
    <x:row r="79" ht="40" customHeight="1">
      <x:c r="A79" s="22" t="str">
        <x:v>L11</x:v>
      </x:c>
      <x:c r="B79" s="23" t="str">
        <x:v>Maintain and submit Week 11 project log</x:v>
      </x:c>
      <x:c r="C79" s="24" t="d">
        <x:v>2026-11-02T00:00:00.000Z</x:v>
      </x:c>
      <x:c r="D79" s="22" t="str">
        <x:v>Task</x:v>
      </x:c>
      <x:c r="E79" s="24" t="d">
        <x:v>2026-11-06T00:00:00.000Z</x:v>
      </x:c>
      <x:c r="F79" s="22" t="n">
        <x:v>5</x:v>
      </x:c>
      <x:c r="G79" s="23" t="str"/>
      <x:c r="H79" s="23" t="str">
        <x:v>Course log</x:v>
      </x:c>
      <x:c r="I79" s="23" t="str">
        <x:v>All four</x:v>
      </x:c>
      <x:c r="J79" s="22"/>
      <x:c r="K79" s="22" t="n">
        <x:v>11</x:v>
      </x:c>
      <x:c r="L79" s="22" t="str">
        <x:v>L11</x:v>
      </x:c>
      <x:c r="M79" s="23" t="str">
        <x:v>Retained with current status, scope or date updates where documented.</x:v>
      </x:c>
      <x:c r="N79" s="2"/>
    </x:row>
    <x:row r="80" ht="40" customHeight="1">
      <x:c r="A80" s="22" t="str">
        <x:v>L12</x:v>
      </x:c>
      <x:c r="B80" s="23" t="str">
        <x:v>Maintain and submit Week 12 project log</x:v>
      </x:c>
      <x:c r="C80" s="24" t="d">
        <x:v>2026-11-09T00:00:00.000Z</x:v>
      </x:c>
      <x:c r="D80" s="22" t="str">
        <x:v>Task</x:v>
      </x:c>
      <x:c r="E80" s="24" t="d">
        <x:v>2026-11-13T00:00:00.000Z</x:v>
      </x:c>
      <x:c r="F80" s="22" t="n">
        <x:v>5</x:v>
      </x:c>
      <x:c r="G80" s="23" t="str"/>
      <x:c r="H80" s="23" t="str">
        <x:v>Course log</x:v>
      </x:c>
      <x:c r="I80" s="23" t="str">
        <x:v>All four</x:v>
      </x:c>
      <x:c r="J80" s="22"/>
      <x:c r="K80" s="22" t="n">
        <x:v>12</x:v>
      </x:c>
      <x:c r="L80" s="22" t="str">
        <x:v>L12</x:v>
      </x:c>
      <x:c r="M80" s="23" t="str">
        <x:v>Retained with current status, scope or date updates where documented.</x:v>
      </x:c>
      <x:c r="N80" s="2"/>
    </x:row>
    <x:row r="81" ht="40" customHeight="1">
      <x:c r="A81" s="22" t="str">
        <x:v>L13</x:v>
      </x:c>
      <x:c r="B81" s="23" t="str">
        <x:v>Maintain and submit Week 13 project log</x:v>
      </x:c>
      <x:c r="C81" s="24" t="d">
        <x:v>2026-11-16T00:00:00.000Z</x:v>
      </x:c>
      <x:c r="D81" s="22" t="str">
        <x:v>Task</x:v>
      </x:c>
      <x:c r="E81" s="24" t="d">
        <x:v>2026-11-20T00:00:00.000Z</x:v>
      </x:c>
      <x:c r="F81" s="22" t="n">
        <x:v>5</x:v>
      </x:c>
      <x:c r="G81" s="23" t="str"/>
      <x:c r="H81" s="23" t="str">
        <x:v>Course log</x:v>
      </x:c>
      <x:c r="I81" s="23" t="str">
        <x:v>All four</x:v>
      </x:c>
      <x:c r="J81" s="22"/>
      <x:c r="K81" s="22" t="n">
        <x:v>12</x:v>
      </x:c>
      <x:c r="L81" s="22" t="str">
        <x:v>L13</x:v>
      </x:c>
      <x:c r="M81" s="23" t="str">
        <x:v>Retained with current status, scope or date updates where documented.</x:v>
      </x:c>
      <x:c r="N81" s="2"/>
    </x:row>
    <x:row r="82" ht="40" customHeight="1">
      <x:c r="A82" s="22" t="str">
        <x:v>L14</x:v>
      </x:c>
      <x:c r="B82" s="23" t="str">
        <x:v>Maintain and submit Week 14 project log</x:v>
      </x:c>
      <x:c r="C82" s="24" t="d">
        <x:v>2026-11-30T00:00:00.000Z</x:v>
      </x:c>
      <x:c r="D82" s="22" t="str">
        <x:v>Task</x:v>
      </x:c>
      <x:c r="E82" s="24" t="d">
        <x:v>2026-12-04T00:00:00.000Z</x:v>
      </x:c>
      <x:c r="F82" s="22" t="n">
        <x:v>5</x:v>
      </x:c>
      <x:c r="G82" s="23" t="str"/>
      <x:c r="H82" s="23" t="str">
        <x:v>Course log</x:v>
      </x:c>
      <x:c r="I82" s="23" t="str">
        <x:v>All four</x:v>
      </x:c>
      <x:c r="J82" s="22"/>
      <x:c r="K82" s="22" t="n">
        <x:v>12</x:v>
      </x:c>
      <x:c r="L82" s="22" t="str">
        <x:v>L14</x:v>
      </x:c>
      <x:c r="M82" s="23" t="str">
        <x:v>Retained with current status, scope or date updates where documented.</x:v>
      </x:c>
      <x:c r="N82" s="2"/>
    </x:row>
    <x:row r="83" ht="40" customHeight="1">
      <x:c r="A83" s="22" t="str">
        <x:v>C1</x:v>
      </x:c>
      <x:c r="B83" s="23" t="str">
        <x:v>Concept Selection &amp; Gantt Chart</x:v>
      </x:c>
      <x:c r="C83" s="24" t="d">
        <x:v>2026-09-28T00:00:00.000Z</x:v>
      </x:c>
      <x:c r="D83" s="22" t="str">
        <x:v>Course milestone</x:v>
      </x:c>
      <x:c r="E83" s="24" t="d">
        <x:v>2026-09-28T00:00:00.000Z</x:v>
      </x:c>
      <x:c r="F83" s="22" t="n">
        <x:v>1</x:v>
      </x:c>
      <x:c r="G83" s="23" t="str">
        <x:v>R1</x:v>
      </x:c>
      <x:c r="H83" s="23" t="str">
        <x:v>Course milestone</x:v>
      </x:c>
      <x:c r="I83" s="23" t="str">
        <x:v>All four</x:v>
      </x:c>
      <x:c r="J83" s="22"/>
      <x:c r="K83" s="22" t="n">
        <x:v>12</x:v>
      </x:c>
      <x:c r="L83" s="22" t="str">
        <x:v>C1</x:v>
      </x:c>
      <x:c r="M83" s="23" t="str">
        <x:v>Retained with current status, scope or date updates where documented.</x:v>
      </x:c>
      <x:c r="N83" s="2"/>
    </x:row>
    <x:row r="84" ht="40" customHeight="1">
      <x:c r="A84" s="22" t="str">
        <x:v>C2</x:v>
      </x:c>
      <x:c r="B84" s="23" t="str">
        <x:v>Week 6 project log</x:v>
      </x:c>
      <x:c r="C84" s="24" t="d">
        <x:v>2026-10-02T00:00:00.000Z</x:v>
      </x:c>
      <x:c r="D84" s="22" t="str">
        <x:v>Course milestone</x:v>
      </x:c>
      <x:c r="E84" s="24" t="d">
        <x:v>2026-10-02T00:00:00.000Z</x:v>
      </x:c>
      <x:c r="F84" s="22" t="n">
        <x:v>1</x:v>
      </x:c>
      <x:c r="G84" s="23" t="str">
        <x:v>L6</x:v>
      </x:c>
      <x:c r="H84" s="23" t="str">
        <x:v>Course milestone</x:v>
      </x:c>
      <x:c r="I84" s="23" t="str">
        <x:v>All four</x:v>
      </x:c>
      <x:c r="J84" s="22"/>
      <x:c r="K84" s="22" t="n">
        <x:v>12</x:v>
      </x:c>
      <x:c r="L84" s="22" t="str">
        <x:v>C2</x:v>
      </x:c>
      <x:c r="M84" s="23" t="str">
        <x:v>Retained with current status, scope or date updates where documented.</x:v>
      </x:c>
      <x:c r="N84" s="2"/>
    </x:row>
    <x:row r="85" ht="40" customHeight="1">
      <x:c r="A85" s="22" t="str">
        <x:v>C3</x:v>
      </x:c>
      <x:c r="B85" s="23" t="str">
        <x:v>System Architecture and Prototype Plan</x:v>
      </x:c>
      <x:c r="C85" s="24" t="d">
        <x:v>2026-10-05T00:00:00.000Z</x:v>
      </x:c>
      <x:c r="D85" s="22" t="str">
        <x:v>Course milestone</x:v>
      </x:c>
      <x:c r="E85" s="24" t="d">
        <x:v>2026-10-05T00:00:00.000Z</x:v>
      </x:c>
      <x:c r="F85" s="22" t="n">
        <x:v>1</x:v>
      </x:c>
      <x:c r="G85" s="23" t="str">
        <x:v>R3</x:v>
      </x:c>
      <x:c r="H85" s="23" t="str">
        <x:v>Course milestone</x:v>
      </x:c>
      <x:c r="I85" s="23" t="str">
        <x:v>All four</x:v>
      </x:c>
      <x:c r="J85" s="22"/>
      <x:c r="K85" s="22" t="n">
        <x:v>12</x:v>
      </x:c>
      <x:c r="L85" s="22" t="str">
        <x:v>C3</x:v>
      </x:c>
      <x:c r="M85" s="23" t="str">
        <x:v>Retained with current status, scope or date updates where documented.</x:v>
      </x:c>
      <x:c r="N85" s="2"/>
    </x:row>
    <x:row r="86" ht="40" customHeight="1">
      <x:c r="A86" s="22" t="str">
        <x:v>C4</x:v>
      </x:c>
      <x:c r="B86" s="23" t="str">
        <x:v>Week 7 Team Progress Check-in: Prototypes 1 and 2</x:v>
      </x:c>
      <x:c r="C86" s="24" t="d">
        <x:v>2026-10-09T00:00:00.000Z</x:v>
      </x:c>
      <x:c r="D86" s="22" t="str">
        <x:v>Course milestone</x:v>
      </x:c>
      <x:c r="E86" s="24" t="d">
        <x:v>2026-10-09T00:00:00.000Z</x:v>
      </x:c>
      <x:c r="F86" s="22" t="n">
        <x:v>1</x:v>
      </x:c>
      <x:c r="G86" s="23" t="str">
        <x:v>M1</x:v>
      </x:c>
      <x:c r="H86" s="23" t="str">
        <x:v>Course milestone</x:v>
      </x:c>
      <x:c r="I86" s="23" t="str">
        <x:v>All four</x:v>
      </x:c>
      <x:c r="J86" s="22"/>
      <x:c r="K86" s="22" t="n">
        <x:v>12</x:v>
      </x:c>
      <x:c r="L86" s="22" t="str">
        <x:v>C4</x:v>
      </x:c>
      <x:c r="M86" s="23" t="str">
        <x:v>Retained with current status, scope or date updates where documented.</x:v>
      </x:c>
      <x:c r="N86" s="2"/>
    </x:row>
    <x:row r="87" ht="40" customHeight="1">
      <x:c r="A87" s="22" t="str">
        <x:v>C5</x:v>
      </x:c>
      <x:c r="B87" s="23" t="str">
        <x:v>Week 7 project log</x:v>
      </x:c>
      <x:c r="C87" s="24" t="d">
        <x:v>2026-10-09T00:00:00.000Z</x:v>
      </x:c>
      <x:c r="D87" s="22" t="str">
        <x:v>Course milestone</x:v>
      </x:c>
      <x:c r="E87" s="24" t="d">
        <x:v>2026-10-09T00:00:00.000Z</x:v>
      </x:c>
      <x:c r="F87" s="22" t="n">
        <x:v>1</x:v>
      </x:c>
      <x:c r="G87" s="23" t="str">
        <x:v>L7</x:v>
      </x:c>
      <x:c r="H87" s="23" t="str">
        <x:v>Course milestone</x:v>
      </x:c>
      <x:c r="I87" s="23" t="str">
        <x:v>All four</x:v>
      </x:c>
      <x:c r="J87" s="22"/>
      <x:c r="K87" s="22" t="n">
        <x:v>12</x:v>
      </x:c>
      <x:c r="L87" s="22" t="str">
        <x:v>C5</x:v>
      </x:c>
      <x:c r="M87" s="23" t="str">
        <x:v>Retained with current status, scope or date updates where documented.</x:v>
      </x:c>
      <x:c r="N87" s="2"/>
    </x:row>
    <x:row r="88" ht="40" customHeight="1">
      <x:c r="A88" s="22" t="str">
        <x:v>C6</x:v>
      </x:c>
      <x:c r="B88" s="23" t="str">
        <x:v>Verification and Validation Plan</x:v>
      </x:c>
      <x:c r="C88" s="24" t="d">
        <x:v>2026-10-12T00:00:00.000Z</x:v>
      </x:c>
      <x:c r="D88" s="22" t="str">
        <x:v>Course milestone</x:v>
      </x:c>
      <x:c r="E88" s="24" t="d">
        <x:v>2026-10-12T00:00:00.000Z</x:v>
      </x:c>
      <x:c r="F88" s="22" t="n">
        <x:v>1</x:v>
      </x:c>
      <x:c r="G88" s="23" t="str">
        <x:v>R5</x:v>
      </x:c>
      <x:c r="H88" s="23" t="str">
        <x:v>Course milestone</x:v>
      </x:c>
      <x:c r="I88" s="23" t="str">
        <x:v>All four</x:v>
      </x:c>
      <x:c r="J88" s="22"/>
      <x:c r="K88" s="22" t="n">
        <x:v>12</x:v>
      </x:c>
      <x:c r="L88" s="22" t="str">
        <x:v>C6</x:v>
      </x:c>
      <x:c r="M88" s="23" t="str">
        <x:v>Retained with current status, scope or date updates where documented.</x:v>
      </x:c>
      <x:c r="N88" s="2"/>
    </x:row>
    <x:row r="89" ht="40" customHeight="1">
      <x:c r="A89" s="22" t="str">
        <x:v>C7</x:v>
      </x:c>
      <x:c r="B89" s="23" t="str">
        <x:v>Week 8 Team Progress Check-in: Prototype 3</x:v>
      </x:c>
      <x:c r="C89" s="24" t="d">
        <x:v>2026-10-16T00:00:00.000Z</x:v>
      </x:c>
      <x:c r="D89" s="22" t="str">
        <x:v>Course milestone</x:v>
      </x:c>
      <x:c r="E89" s="24" t="d">
        <x:v>2026-10-16T00:00:00.000Z</x:v>
      </x:c>
      <x:c r="F89" s="22" t="n">
        <x:v>1</x:v>
      </x:c>
      <x:c r="G89" s="23" t="str">
        <x:v>M2</x:v>
      </x:c>
      <x:c r="H89" s="23" t="str">
        <x:v>Course milestone</x:v>
      </x:c>
      <x:c r="I89" s="23" t="str">
        <x:v>All four</x:v>
      </x:c>
      <x:c r="J89" s="22"/>
      <x:c r="K89" s="22" t="n">
        <x:v>12</x:v>
      </x:c>
      <x:c r="L89" s="22" t="str">
        <x:v>C7</x:v>
      </x:c>
      <x:c r="M89" s="23" t="str">
        <x:v>Retained with current status, scope or date updates where documented.</x:v>
      </x:c>
      <x:c r="N89" s="2"/>
    </x:row>
    <x:row r="90" ht="40" customHeight="1">
      <x:c r="A90" s="22" t="str">
        <x:v>C8</x:v>
      </x:c>
      <x:c r="B90" s="23" t="str">
        <x:v>Week 8 project log</x:v>
      </x:c>
      <x:c r="C90" s="24" t="d">
        <x:v>2026-10-16T00:00:00.000Z</x:v>
      </x:c>
      <x:c r="D90" s="22" t="str">
        <x:v>Course milestone</x:v>
      </x:c>
      <x:c r="E90" s="24" t="d">
        <x:v>2026-10-16T00:00:00.000Z</x:v>
      </x:c>
      <x:c r="F90" s="22" t="n">
        <x:v>1</x:v>
      </x:c>
      <x:c r="G90" s="23" t="str">
        <x:v>L8</x:v>
      </x:c>
      <x:c r="H90" s="23" t="str">
        <x:v>Course milestone</x:v>
      </x:c>
      <x:c r="I90" s="23" t="str">
        <x:v>All four</x:v>
      </x:c>
      <x:c r="J90" s="22"/>
      <x:c r="K90" s="22" t="n">
        <x:v>12</x:v>
      </x:c>
      <x:c r="L90" s="22" t="str">
        <x:v>C8</x:v>
      </x:c>
      <x:c r="M90" s="23" t="str">
        <x:v>Retained with current status, scope or date updates where documented.</x:v>
      </x:c>
      <x:c r="N90" s="2"/>
    </x:row>
    <x:row r="91" ht="40" customHeight="1">
      <x:c r="A91" s="22" t="str">
        <x:v>C9</x:v>
      </x:c>
      <x:c r="B91" s="23" t="str">
        <x:v>Midterm Group Presentation</x:v>
      </x:c>
      <x:c r="C91" s="24" t="d">
        <x:v>2026-10-21T00:00:00.000Z</x:v>
      </x:c>
      <x:c r="D91" s="22" t="str">
        <x:v>Course milestone</x:v>
      </x:c>
      <x:c r="E91" s="24" t="d">
        <x:v>2026-10-21T00:00:00.000Z</x:v>
      </x:c>
      <x:c r="F91" s="22" t="n">
        <x:v>1</x:v>
      </x:c>
      <x:c r="G91" s="23" t="str">
        <x:v>M3</x:v>
      </x:c>
      <x:c r="H91" s="23" t="str">
        <x:v>Course milestone</x:v>
      </x:c>
      <x:c r="I91" s="23" t="str">
        <x:v>All four</x:v>
      </x:c>
      <x:c r="J91" s="22"/>
      <x:c r="K91" s="22" t="n">
        <x:v>12</x:v>
      </x:c>
      <x:c r="L91" s="22" t="str">
        <x:v>C9</x:v>
      </x:c>
      <x:c r="M91" s="23" t="str">
        <x:v>Retained with current status, scope or date updates where documented.</x:v>
      </x:c>
      <x:c r="N91" s="2"/>
    </x:row>
    <x:row r="92" ht="40" customHeight="1">
      <x:c r="A92" s="22" t="str">
        <x:v>C10</x:v>
      </x:c>
      <x:c r="B92" s="23" t="str">
        <x:v>Midterm Individual Presentation Grade</x:v>
      </x:c>
      <x:c r="C92" s="24" t="d">
        <x:v>2026-10-21T00:00:00.000Z</x:v>
      </x:c>
      <x:c r="D92" s="22" t="str">
        <x:v>Course milestone</x:v>
      </x:c>
      <x:c r="E92" s="24" t="d">
        <x:v>2026-10-21T00:00:00.000Z</x:v>
      </x:c>
      <x:c r="F92" s="22" t="n">
        <x:v>1</x:v>
      </x:c>
      <x:c r="G92" s="23" t="str">
        <x:v>M3</x:v>
      </x:c>
      <x:c r="H92" s="23" t="str">
        <x:v>Course milestone</x:v>
      </x:c>
      <x:c r="I92" s="23" t="str">
        <x:v>All four</x:v>
      </x:c>
      <x:c r="J92" s="22"/>
      <x:c r="K92" s="22" t="n">
        <x:v>12</x:v>
      </x:c>
      <x:c r="L92" s="22" t="str">
        <x:v>C10</x:v>
      </x:c>
      <x:c r="M92" s="23" t="str">
        <x:v>Retained with current status, scope or date updates where documented.</x:v>
      </x:c>
      <x:c r="N92" s="2"/>
    </x:row>
    <x:row r="93" ht="40" customHeight="1">
      <x:c r="A93" s="22" t="str">
        <x:v>C11</x:v>
      </x:c>
      <x:c r="B93" s="23" t="str">
        <x:v>Prototypes 1, 2, and 3</x:v>
      </x:c>
      <x:c r="C93" s="24" t="d">
        <x:v>2026-10-21T00:00:00.000Z</x:v>
      </x:c>
      <x:c r="D93" s="22" t="str">
        <x:v>Course milestone</x:v>
      </x:c>
      <x:c r="E93" s="24" t="d">
        <x:v>2026-10-21T00:00:00.000Z</x:v>
      </x:c>
      <x:c r="F93" s="22" t="n">
        <x:v>1</x:v>
      </x:c>
      <x:c r="G93" s="23" t="str">
        <x:v>P3</x:v>
      </x:c>
      <x:c r="H93" s="23" t="str">
        <x:v>Course milestone</x:v>
      </x:c>
      <x:c r="I93" s="23" t="str">
        <x:v>All four</x:v>
      </x:c>
      <x:c r="J93" s="22"/>
      <x:c r="K93" s="22" t="n">
        <x:v>12</x:v>
      </x:c>
      <x:c r="L93" s="22" t="str">
        <x:v>C11</x:v>
      </x:c>
      <x:c r="M93" s="23" t="str">
        <x:v>Retained with current status, scope or date updates where documented.</x:v>
      </x:c>
      <x:c r="N93" s="2"/>
    </x:row>
    <x:row r="94" ht="40" customHeight="1">
      <x:c r="A94" s="22" t="str">
        <x:v>C12</x:v>
      </x:c>
      <x:c r="B94" s="23" t="str">
        <x:v>Week 9 project log</x:v>
      </x:c>
      <x:c r="C94" s="24" t="d">
        <x:v>2026-10-23T00:00:00.000Z</x:v>
      </x:c>
      <x:c r="D94" s="22" t="str">
        <x:v>Course milestone</x:v>
      </x:c>
      <x:c r="E94" s="24" t="d">
        <x:v>2026-10-23T00:00:00.000Z</x:v>
      </x:c>
      <x:c r="F94" s="22" t="n">
        <x:v>1</x:v>
      </x:c>
      <x:c r="G94" s="23" t="str">
        <x:v>L9</x:v>
      </x:c>
      <x:c r="H94" s="23" t="str">
        <x:v>Course milestone</x:v>
      </x:c>
      <x:c r="I94" s="23" t="str">
        <x:v>All four</x:v>
      </x:c>
      <x:c r="J94" s="22"/>
      <x:c r="K94" s="22" t="n">
        <x:v>12</x:v>
      </x:c>
      <x:c r="L94" s="22" t="str">
        <x:v>C12</x:v>
      </x:c>
      <x:c r="M94" s="23" t="str">
        <x:v>Retained with current status, scope or date updates where documented.</x:v>
      </x:c>
      <x:c r="N94" s="2"/>
    </x:row>
    <x:row r="95" ht="40" customHeight="1">
      <x:c r="A95" s="22" t="str">
        <x:v>C13</x:v>
      </x:c>
      <x:c r="B95" s="23" t="str">
        <x:v>MVP (Minimally Viable Prototype)</x:v>
      </x:c>
      <x:c r="C95" s="24" t="d">
        <x:v>2026-10-28T00:00:00.000Z</x:v>
      </x:c>
      <x:c r="D95" s="22" t="str">
        <x:v>Course milestone</x:v>
      </x:c>
      <x:c r="E95" s="24" t="d">
        <x:v>2026-10-28T00:00:00.000Z</x:v>
      </x:c>
      <x:c r="F95" s="22" t="n">
        <x:v>1</x:v>
      </x:c>
      <x:c r="G95" s="23" t="str">
        <x:v>M4</x:v>
      </x:c>
      <x:c r="H95" s="23" t="str">
        <x:v>Course milestone</x:v>
      </x:c>
      <x:c r="I95" s="23" t="str">
        <x:v>All four</x:v>
      </x:c>
      <x:c r="J95" s="22"/>
      <x:c r="K95" s="22" t="n">
        <x:v>12</x:v>
      </x:c>
      <x:c r="L95" s="22" t="str">
        <x:v>C13</x:v>
      </x:c>
      <x:c r="M95" s="23" t="str">
        <x:v>Retained with current status, scope or date updates where documented.</x:v>
      </x:c>
      <x:c r="N95" s="2"/>
    </x:row>
    <x:row r="96" ht="40" customHeight="1">
      <x:c r="A96" s="22" t="str">
        <x:v>C14</x:v>
      </x:c>
      <x:c r="B96" s="23" t="str">
        <x:v>Week 10 Team Progress Check-in: MVP</x:v>
      </x:c>
      <x:c r="C96" s="24" t="d">
        <x:v>2026-10-30T00:00:00.000Z</x:v>
      </x:c>
      <x:c r="D96" s="22" t="str">
        <x:v>Course milestone</x:v>
      </x:c>
      <x:c r="E96" s="24" t="d">
        <x:v>2026-10-30T00:00:00.000Z</x:v>
      </x:c>
      <x:c r="F96" s="22" t="n">
        <x:v>1</x:v>
      </x:c>
      <x:c r="G96" s="23" t="str">
        <x:v>I3</x:v>
      </x:c>
      <x:c r="H96" s="23" t="str">
        <x:v>Course milestone</x:v>
      </x:c>
      <x:c r="I96" s="23" t="str">
        <x:v>All four</x:v>
      </x:c>
      <x:c r="J96" s="22"/>
      <x:c r="K96" s="22" t="n">
        <x:v>12</x:v>
      </x:c>
      <x:c r="L96" s="22" t="str">
        <x:v>C14</x:v>
      </x:c>
      <x:c r="M96" s="23" t="str">
        <x:v>Retained with current status, scope or date updates where documented.</x:v>
      </x:c>
      <x:c r="N96" s="2"/>
    </x:row>
    <x:row r="97" ht="40" customHeight="1">
      <x:c r="A97" s="22" t="str">
        <x:v>C15</x:v>
      </x:c>
      <x:c r="B97" s="23" t="str">
        <x:v>Week 10 project log</x:v>
      </x:c>
      <x:c r="C97" s="24" t="d">
        <x:v>2026-10-30T00:00:00.000Z</x:v>
      </x:c>
      <x:c r="D97" s="22" t="str">
        <x:v>Course milestone</x:v>
      </x:c>
      <x:c r="E97" s="24" t="d">
        <x:v>2026-10-30T00:00:00.000Z</x:v>
      </x:c>
      <x:c r="F97" s="22" t="n">
        <x:v>1</x:v>
      </x:c>
      <x:c r="G97" s="23" t="str">
        <x:v>L10</x:v>
      </x:c>
      <x:c r="H97" s="23" t="str">
        <x:v>Course milestone</x:v>
      </x:c>
      <x:c r="I97" s="23" t="str">
        <x:v>All four</x:v>
      </x:c>
      <x:c r="J97" s="22"/>
      <x:c r="K97" s="22" t="n">
        <x:v>12</x:v>
      </x:c>
      <x:c r="L97" s="22" t="str">
        <x:v>C15</x:v>
      </x:c>
      <x:c r="M97" s="23" t="str">
        <x:v>Retained with current status, scope or date updates where documented.</x:v>
      </x:c>
      <x:c r="N97" s="2"/>
    </x:row>
    <x:row r="98" ht="40" customHeight="1">
      <x:c r="A98" s="22" t="str">
        <x:v>C16</x:v>
      </x:c>
      <x:c r="B98" s="23" t="str">
        <x:v>Week 11 Team Progress Check-in: Verification + Validation Testing</x:v>
      </x:c>
      <x:c r="C98" s="24" t="d">
        <x:v>2026-11-06T00:00:00.000Z</x:v>
      </x:c>
      <x:c r="D98" s="22" t="str">
        <x:v>Course milestone</x:v>
      </x:c>
      <x:c r="E98" s="24" t="d">
        <x:v>2026-11-06T00:00:00.000Z</x:v>
      </x:c>
      <x:c r="F98" s="22" t="n">
        <x:v>1</x:v>
      </x:c>
      <x:c r="G98" s="23" t="str">
        <x:v>M5</x:v>
      </x:c>
      <x:c r="H98" s="23" t="str">
        <x:v>Course milestone</x:v>
      </x:c>
      <x:c r="I98" s="23" t="str">
        <x:v>All four</x:v>
      </x:c>
      <x:c r="J98" s="22"/>
      <x:c r="K98" s="22" t="n">
        <x:v>12</x:v>
      </x:c>
      <x:c r="L98" s="22" t="str">
        <x:v>C16</x:v>
      </x:c>
      <x:c r="M98" s="23" t="str">
        <x:v>Retained with current status, scope or date updates where documented.</x:v>
      </x:c>
      <x:c r="N98" s="2"/>
    </x:row>
    <x:row r="99" ht="40" customHeight="1">
      <x:c r="A99" s="22" t="str">
        <x:v>C17</x:v>
      </x:c>
      <x:c r="B99" s="23" t="str">
        <x:v>Week 11 project log</x:v>
      </x:c>
      <x:c r="C99" s="24" t="d">
        <x:v>2026-11-06T00:00:00.000Z</x:v>
      </x:c>
      <x:c r="D99" s="22" t="str">
        <x:v>Course milestone</x:v>
      </x:c>
      <x:c r="E99" s="24" t="d">
        <x:v>2026-11-06T00:00:00.000Z</x:v>
      </x:c>
      <x:c r="F99" s="22" t="n">
        <x:v>1</x:v>
      </x:c>
      <x:c r="G99" s="23" t="str">
        <x:v>L11</x:v>
      </x:c>
      <x:c r="H99" s="23" t="str">
        <x:v>Course milestone</x:v>
      </x:c>
      <x:c r="I99" s="23" t="str">
        <x:v>All four</x:v>
      </x:c>
      <x:c r="J99" s="22"/>
      <x:c r="K99" s="22" t="n">
        <x:v>12</x:v>
      </x:c>
      <x:c r="L99" s="22" t="str">
        <x:v>C17</x:v>
      </x:c>
      <x:c r="M99" s="23" t="str">
        <x:v>Retained with current status, scope or date updates where documented.</x:v>
      </x:c>
      <x:c r="N99" s="2"/>
    </x:row>
    <x:row r="100" ht="40" customHeight="1">
      <x:c r="A100" s="22" t="str">
        <x:v>C18</x:v>
      </x:c>
      <x:c r="B100" s="23" t="str">
        <x:v>Validation Testing Checkpoint</x:v>
      </x:c>
      <x:c r="C100" s="24" t="d">
        <x:v>2026-11-09T00:00:00.000Z</x:v>
      </x:c>
      <x:c r="D100" s="22" t="str">
        <x:v>Course milestone</x:v>
      </x:c>
      <x:c r="E100" s="24" t="d">
        <x:v>2026-11-09T00:00:00.000Z</x:v>
      </x:c>
      <x:c r="F100" s="22" t="n">
        <x:v>1</x:v>
      </x:c>
      <x:c r="G100" s="23" t="str">
        <x:v>V4</x:v>
      </x:c>
      <x:c r="H100" s="23" t="str">
        <x:v>Course milestone</x:v>
      </x:c>
      <x:c r="I100" s="23" t="str">
        <x:v>All four</x:v>
      </x:c>
      <x:c r="J100" s="22"/>
      <x:c r="K100" s="22" t="n">
        <x:v>13</x:v>
      </x:c>
      <x:c r="L100" s="22" t="str">
        <x:v>C18</x:v>
      </x:c>
      <x:c r="M100" s="23" t="str">
        <x:v>Retained with current status, scope or date updates where documented.</x:v>
      </x:c>
      <x:c r="N100" s="2"/>
    </x:row>
    <x:row r="101" ht="40" customHeight="1">
      <x:c r="A101" s="22" t="str">
        <x:v>C19</x:v>
      </x:c>
      <x:c r="B101" s="23" t="str">
        <x:v>Week 12 Team Progress Check-In: Data Analysis</x:v>
      </x:c>
      <x:c r="C101" s="24" t="d">
        <x:v>2026-11-13T00:00:00.000Z</x:v>
      </x:c>
      <x:c r="D101" s="22" t="str">
        <x:v>Course milestone</x:v>
      </x:c>
      <x:c r="E101" s="24" t="d">
        <x:v>2026-11-13T00:00:00.000Z</x:v>
      </x:c>
      <x:c r="F101" s="22" t="n">
        <x:v>1</x:v>
      </x:c>
      <x:c r="G101" s="23" t="str">
        <x:v>V5</x:v>
      </x:c>
      <x:c r="H101" s="23" t="str">
        <x:v>Course milestone</x:v>
      </x:c>
      <x:c r="I101" s="23" t="str">
        <x:v>All four</x:v>
      </x:c>
      <x:c r="J101" s="22"/>
      <x:c r="K101" s="22" t="n">
        <x:v>13</x:v>
      </x:c>
      <x:c r="L101" s="22" t="str">
        <x:v>C19</x:v>
      </x:c>
      <x:c r="M101" s="23" t="str">
        <x:v>Retained with current status, scope or date updates where documented.</x:v>
      </x:c>
      <x:c r="N101" s="2"/>
    </x:row>
    <x:row r="102" ht="40" customHeight="1">
      <x:c r="A102" s="22" t="str">
        <x:v>C20</x:v>
      </x:c>
      <x:c r="B102" s="23" t="str">
        <x:v>Week 12 project log</x:v>
      </x:c>
      <x:c r="C102" s="24" t="d">
        <x:v>2026-11-13T00:00:00.000Z</x:v>
      </x:c>
      <x:c r="D102" s="22" t="str">
        <x:v>Course milestone</x:v>
      </x:c>
      <x:c r="E102" s="24" t="d">
        <x:v>2026-11-13T00:00:00.000Z</x:v>
      </x:c>
      <x:c r="F102" s="22" t="n">
        <x:v>1</x:v>
      </x:c>
      <x:c r="G102" s="23" t="str">
        <x:v>L12</x:v>
      </x:c>
      <x:c r="H102" s="23" t="str">
        <x:v>Course milestone</x:v>
      </x:c>
      <x:c r="I102" s="23" t="str">
        <x:v>All four</x:v>
      </x:c>
      <x:c r="J102" s="22"/>
      <x:c r="K102" s="22" t="n">
        <x:v>13</x:v>
      </x:c>
      <x:c r="L102" s="22" t="str">
        <x:v>C20</x:v>
      </x:c>
      <x:c r="M102" s="23" t="str">
        <x:v>Retained with current status, scope or date updates where documented.</x:v>
      </x:c>
      <x:c r="N102" s="2"/>
    </x:row>
    <x:row r="103" ht="40" customHeight="1">
      <x:c r="A103" s="22" t="str">
        <x:v>C21</x:v>
      </x:c>
      <x:c r="B103" s="23" t="str">
        <x:v>Data Analysis Checkpoint</x:v>
      </x:c>
      <x:c r="C103" s="24" t="d">
        <x:v>2026-11-16T00:00:00.000Z</x:v>
      </x:c>
      <x:c r="D103" s="22" t="str">
        <x:v>Course milestone</x:v>
      </x:c>
      <x:c r="E103" s="24" t="d">
        <x:v>2026-11-16T00:00:00.000Z</x:v>
      </x:c>
      <x:c r="F103" s="22" t="n">
        <x:v>1</x:v>
      </x:c>
      <x:c r="G103" s="23" t="str">
        <x:v>V6</x:v>
      </x:c>
      <x:c r="H103" s="23" t="str">
        <x:v>Course milestone</x:v>
      </x:c>
      <x:c r="I103" s="23" t="str">
        <x:v>All four</x:v>
      </x:c>
      <x:c r="J103" s="22"/>
      <x:c r="K103" s="22" t="n">
        <x:v>13</x:v>
      </x:c>
      <x:c r="L103" s="22" t="str">
        <x:v>C21</x:v>
      </x:c>
      <x:c r="M103" s="23" t="str">
        <x:v>Retained with current status, scope or date updates where documented.</x:v>
      </x:c>
      <x:c r="N103" s="2"/>
    </x:row>
    <x:row r="104" ht="40" customHeight="1">
      <x:c r="A104" s="22" t="str">
        <x:v>C22</x:v>
      </x:c>
      <x:c r="B104" s="23" t="str">
        <x:v>Week 13 Team Progress Check-In: Stakeholder MVP Presentation Preparations</x:v>
      </x:c>
      <x:c r="C104" s="24" t="d">
        <x:v>2026-11-20T00:00:00.000Z</x:v>
      </x:c>
      <x:c r="D104" s="22" t="str">
        <x:v>Course milestone</x:v>
      </x:c>
      <x:c r="E104" s="24" t="d">
        <x:v>2026-11-20T00:00:00.000Z</x:v>
      </x:c>
      <x:c r="F104" s="22" t="n">
        <x:v>1</x:v>
      </x:c>
      <x:c r="G104" s="23" t="str">
        <x:v>D1</x:v>
      </x:c>
      <x:c r="H104" s="23" t="str">
        <x:v>Course milestone</x:v>
      </x:c>
      <x:c r="I104" s="23" t="str">
        <x:v>All four</x:v>
      </x:c>
      <x:c r="J104" s="22"/>
      <x:c r="K104" s="22" t="n">
        <x:v>13</x:v>
      </x:c>
      <x:c r="L104" s="22" t="str">
        <x:v>C22</x:v>
      </x:c>
      <x:c r="M104" s="23" t="str">
        <x:v>Retained with current status, scope or date updates where documented.</x:v>
      </x:c>
      <x:c r="N104" s="2"/>
    </x:row>
    <x:row r="105" ht="40" customHeight="1">
      <x:c r="A105" s="22" t="str">
        <x:v>C23</x:v>
      </x:c>
      <x:c r="B105" s="23" t="str">
        <x:v>Week 13 project log</x:v>
      </x:c>
      <x:c r="C105" s="24" t="d">
        <x:v>2026-11-20T00:00:00.000Z</x:v>
      </x:c>
      <x:c r="D105" s="22" t="str">
        <x:v>Course milestone</x:v>
      </x:c>
      <x:c r="E105" s="24" t="d">
        <x:v>2026-11-20T00:00:00.000Z</x:v>
      </x:c>
      <x:c r="F105" s="22" t="n">
        <x:v>1</x:v>
      </x:c>
      <x:c r="G105" s="23" t="str">
        <x:v>L13</x:v>
      </x:c>
      <x:c r="H105" s="23" t="str">
        <x:v>Course milestone</x:v>
      </x:c>
      <x:c r="I105" s="23" t="str">
        <x:v>All four</x:v>
      </x:c>
      <x:c r="J105" s="22"/>
      <x:c r="K105" s="22" t="n">
        <x:v>13</x:v>
      </x:c>
      <x:c r="L105" s="22" t="str">
        <x:v>C23</x:v>
      </x:c>
      <x:c r="M105" s="23" t="str">
        <x:v>Retained with current status, scope or date updates where documented.</x:v>
      </x:c>
      <x:c r="N105" s="2"/>
    </x:row>
    <x:row r="106" ht="40" customHeight="1">
      <x:c r="A106" s="22" t="str">
        <x:v>C24</x:v>
      </x:c>
      <x:c r="B106" s="23" t="str">
        <x:v>Extra Credit Opportunity: End-of-Semester Course Evaluation</x:v>
      </x:c>
      <x:c r="C106" s="24" t="d">
        <x:v>2026-12-04T00:00:00.000Z</x:v>
      </x:c>
      <x:c r="D106" s="22" t="str">
        <x:v>Course milestone</x:v>
      </x:c>
      <x:c r="E106" s="24" t="d">
        <x:v>2026-12-04T00:00:00.000Z</x:v>
      </x:c>
      <x:c r="F106" s="22" t="n">
        <x:v>1</x:v>
      </x:c>
      <x:c r="G106" s="23" t="str"/>
      <x:c r="H106" s="23" t="str">
        <x:v>Course milestone</x:v>
      </x:c>
      <x:c r="I106" s="23" t="str">
        <x:v>Optional</x:v>
      </x:c>
      <x:c r="J106" s="22"/>
      <x:c r="K106" s="22" t="n">
        <x:v>13</x:v>
      </x:c>
      <x:c r="L106" s="22" t="str">
        <x:v>C24</x:v>
      </x:c>
      <x:c r="M106" s="23" t="str">
        <x:v>Retained with current status, scope or date updates where documented.</x:v>
      </x:c>
      <x:c r="N106" s="2"/>
    </x:row>
    <x:row r="107" ht="40" customHeight="1">
      <x:c r="A107" s="22" t="str">
        <x:v>C25</x:v>
      </x:c>
      <x:c r="B107" s="23" t="str">
        <x:v>Final report</x:v>
      </x:c>
      <x:c r="C107" s="24" t="d">
        <x:v>2026-12-04T00:00:00.000Z</x:v>
      </x:c>
      <x:c r="D107" s="22" t="str">
        <x:v>Course milestone</x:v>
      </x:c>
      <x:c r="E107" s="24" t="d">
        <x:v>2026-12-04T00:00:00.000Z</x:v>
      </x:c>
      <x:c r="F107" s="22" t="n">
        <x:v>1</x:v>
      </x:c>
      <x:c r="G107" s="23" t="str">
        <x:v>M7</x:v>
      </x:c>
      <x:c r="H107" s="23" t="str">
        <x:v>Course milestone</x:v>
      </x:c>
      <x:c r="I107" s="23" t="str">
        <x:v>All four</x:v>
      </x:c>
      <x:c r="J107" s="22"/>
      <x:c r="K107" s="22" t="n">
        <x:v>13</x:v>
      </x:c>
      <x:c r="L107" s="22" t="str">
        <x:v>C25</x:v>
      </x:c>
      <x:c r="M107" s="23" t="str">
        <x:v>Retained with current status, scope or date updates where documented.</x:v>
      </x:c>
      <x:c r="N107" s="2"/>
    </x:row>
    <x:row r="108" ht="40" customHeight="1">
      <x:c r="A108" s="22" t="str">
        <x:v>C26</x:v>
      </x:c>
      <x:c r="B108" s="23" t="str">
        <x:v>CATME Peer Evaluation</x:v>
      </x:c>
      <x:c r="C108" s="24" t="d">
        <x:v>2026-12-04T00:00:00.000Z</x:v>
      </x:c>
      <x:c r="D108" s="22" t="str">
        <x:v>Course milestone</x:v>
      </x:c>
      <x:c r="E108" s="24" t="d">
        <x:v>2026-12-04T00:00:00.000Z</x:v>
      </x:c>
      <x:c r="F108" s="22" t="n">
        <x:v>1</x:v>
      </x:c>
      <x:c r="G108" s="23" t="str">
        <x:v>D5</x:v>
      </x:c>
      <x:c r="H108" s="23" t="str">
        <x:v>Course milestone</x:v>
      </x:c>
      <x:c r="I108" s="23" t="str">
        <x:v>All four</x:v>
      </x:c>
      <x:c r="J108" s="22"/>
      <x:c r="K108" s="22" t="n">
        <x:v>13</x:v>
      </x:c>
      <x:c r="L108" s="22" t="str">
        <x:v>C26</x:v>
      </x:c>
      <x:c r="M108" s="23" t="str">
        <x:v>Retained with current status, scope or date updates where documented.</x:v>
      </x:c>
      <x:c r="N108" s="2"/>
    </x:row>
    <x:row r="109" ht="40" customHeight="1">
      <x:c r="A109" s="22" t="str">
        <x:v>C27</x:v>
      </x:c>
      <x:c r="B109" s="23" t="str">
        <x:v>Final report (individual)</x:v>
      </x:c>
      <x:c r="C109" s="24" t="d">
        <x:v>2026-12-04T00:00:00.000Z</x:v>
      </x:c>
      <x:c r="D109" s="22" t="str">
        <x:v>Course milestone</x:v>
      </x:c>
      <x:c r="E109" s="24" t="d">
        <x:v>2026-12-04T00:00:00.000Z</x:v>
      </x:c>
      <x:c r="F109" s="22" t="n">
        <x:v>1</x:v>
      </x:c>
      <x:c r="G109" s="23" t="str">
        <x:v>M7</x:v>
      </x:c>
      <x:c r="H109" s="23" t="str">
        <x:v>Course milestone</x:v>
      </x:c>
      <x:c r="I109" s="23" t="str">
        <x:v>All four</x:v>
      </x:c>
      <x:c r="J109" s="22"/>
      <x:c r="K109" s="22" t="n">
        <x:v>13</x:v>
      </x:c>
      <x:c r="L109" s="22" t="str">
        <x:v>C27</x:v>
      </x:c>
      <x:c r="M109" s="23" t="str">
        <x:v>Retained with current status, scope or date updates where documented.</x:v>
      </x:c>
      <x:c r="N109" s="2"/>
    </x:row>
    <x:row r="110" ht="40" customHeight="1">
      <x:c r="A110" s="22" t="str">
        <x:v>C28</x:v>
      </x:c>
      <x:c r="B110" s="23" t="str">
        <x:v>Week 14 project log</x:v>
      </x:c>
      <x:c r="C110" s="24" t="d">
        <x:v>2026-12-04T00:00:00.000Z</x:v>
      </x:c>
      <x:c r="D110" s="22" t="str">
        <x:v>Course milestone</x:v>
      </x:c>
      <x:c r="E110" s="24" t="d">
        <x:v>2026-12-04T00:00:00.000Z</x:v>
      </x:c>
      <x:c r="F110" s="22" t="n">
        <x:v>1</x:v>
      </x:c>
      <x:c r="G110" s="23" t="str">
        <x:v>L14</x:v>
      </x:c>
      <x:c r="H110" s="23" t="str">
        <x:v>Course milestone</x:v>
      </x:c>
      <x:c r="I110" s="23" t="str">
        <x:v>All four</x:v>
      </x:c>
      <x:c r="J110" s="22"/>
      <x:c r="K110" s="22" t="n">
        <x:v>13</x:v>
      </x:c>
      <x:c r="L110" s="22" t="str">
        <x:v>C28</x:v>
      </x:c>
      <x:c r="M110" s="23" t="str">
        <x:v>Retained with current status, scope or date updates where documented.</x:v>
      </x:c>
      <x:c r="N110" s="2"/>
    </x:row>
    <x:row r="111" ht="40" customHeight="1">
      <x:c r="A111" s="22" t="str">
        <x:v>C29</x:v>
      </x:c>
      <x:c r="B111" s="23" t="str">
        <x:v>Final presentation (group)</x:v>
      </x:c>
      <x:c r="C111" s="24" t="d">
        <x:v>2026-12-09T00:00:00.000Z</x:v>
      </x:c>
      <x:c r="D111" s="22" t="str">
        <x:v>Course milestone</x:v>
      </x:c>
      <x:c r="E111" s="24" t="d">
        <x:v>2026-12-09T00:00:00.000Z</x:v>
      </x:c>
      <x:c r="F111" s="22" t="n">
        <x:v>1</x:v>
      </x:c>
      <x:c r="G111" s="23" t="str">
        <x:v>M8</x:v>
      </x:c>
      <x:c r="H111" s="23" t="str">
        <x:v>Course milestone</x:v>
      </x:c>
      <x:c r="I111" s="23" t="str">
        <x:v>All four</x:v>
      </x:c>
      <x:c r="J111" s="22"/>
      <x:c r="K111" s="22" t="n">
        <x:v>13</x:v>
      </x:c>
      <x:c r="L111" s="22" t="str">
        <x:v>C29</x:v>
      </x:c>
      <x:c r="M111" s="23" t="str">
        <x:v>Retained with current status, scope or date updates where documented.</x:v>
      </x:c>
      <x:c r="N111" s="2"/>
    </x:row>
    <x:row r="112" ht="40" customHeight="1">
      <x:c r="A112" s="25" t="str">
        <x:v>C30</x:v>
      </x:c>
      <x:c r="B112" s="26" t="str">
        <x:v>Final presentation (individual)</x:v>
      </x:c>
      <x:c r="C112" s="27" t="d">
        <x:v>2026-12-09T00:00:00.000Z</x:v>
      </x:c>
      <x:c r="D112" s="25" t="str">
        <x:v>Course milestone</x:v>
      </x:c>
      <x:c r="E112" s="27" t="d">
        <x:v>2026-12-09T00:00:00.000Z</x:v>
      </x:c>
      <x:c r="F112" s="25" t="n">
        <x:v>1</x:v>
      </x:c>
      <x:c r="G112" s="26" t="str">
        <x:v>M8</x:v>
      </x:c>
      <x:c r="H112" s="26" t="str">
        <x:v>Course milestone</x:v>
      </x:c>
      <x:c r="I112" s="26" t="str">
        <x:v>All four</x:v>
      </x:c>
      <x:c r="J112" s="25"/>
      <x:c r="K112" s="25" t="n">
        <x:v>13</x:v>
      </x:c>
      <x:c r="L112" s="25" t="str">
        <x:v>C30</x:v>
      </x:c>
      <x:c r="M112" s="26" t="str">
        <x:v>Retained with current status, scope or date updates where documented.</x:v>
      </x:c>
      <x:c r="N112" s="2"/>
    </x:row>
    <x:row r="113" ht="2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ht="2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ht="2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</x:sheetData>
  <x:mergeCells>
    <x:mergeCell ref="A5:B5"/>
    <x:mergeCell ref="A6:B6"/>
    <x:mergeCell ref="A7:B7"/>
    <x:mergeCell ref="A8:B8"/>
    <x:mergeCell ref="A9:B9"/>
    <x:mergeCell ref="A10:B10"/>
    <x:mergeCell ref="A11:B11"/>
    <x:mergeCell ref="A4:B4"/>
  </x:mergeCell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>
  <dc:title>Week 9 Memorial Bird Feeder Gantt Chart</dc:title>
  <dc:creator>Joe Falkenburg</dc:creator>
  <cp:lastModifiedBy>Joe Falkenburg</cp:lastModifiedBy>
</cp:coreProperties>
</file>